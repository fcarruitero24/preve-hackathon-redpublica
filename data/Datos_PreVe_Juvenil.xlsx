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nuncias por distrito 2024" sheetId="1" state="visible" r:id="rId3"/>
    <sheet name="Tipos de delito" sheetId="2" state="visible" r:id="rId4"/>
    <sheet name="Victimización 2021-2024" sheetId="3" state="visible" r:id="rId5"/>
    <sheet name="Vulnerabilidad juvenil" sheetId="4" state="visible" r:id="rId6"/>
    <sheet name="Causas estructurales" sheetId="5" state="visible" r:id="rId7"/>
    <sheet name="Marco legal y meta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<sst xmlns="http://schemas.openxmlformats.org/spreadsheetml/2006/main" count="77" uniqueCount="74">
  <si>
    <t xml:space="preserve">Distrito (Lima Centro)</t>
  </si>
  <si>
    <t xml:space="preserve">Denuncias 1T-2021</t>
  </si>
  <si>
    <t xml:space="preserve">Denuncias 1T-2024</t>
  </si>
  <si>
    <t xml:space="preserve">Variación %</t>
  </si>
  <si>
    <t xml:space="preserve">Cercado de Lima</t>
  </si>
  <si>
    <t xml:space="preserve">La Victoria</t>
  </si>
  <si>
    <t xml:space="preserve">Santiago de Surco</t>
  </si>
  <si>
    <t xml:space="preserve">Miraflores</t>
  </si>
  <si>
    <t xml:space="preserve">San Isidro</t>
  </si>
  <si>
    <t xml:space="preserve">Barranco</t>
  </si>
  <si>
    <t xml:space="preserve">Pueblo Libre</t>
  </si>
  <si>
    <t xml:space="preserve">Magdalena del Mar</t>
  </si>
  <si>
    <t xml:space="preserve">Fuente: INEI - Estadísticas de Criminalidad ene-mar 2024, citado por El Comercio (2024) y La República (2024).</t>
  </si>
  <si>
    <t xml:space="preserve">Tipo de delito</t>
  </si>
  <si>
    <t xml:space="preserve">% denuncias Lima Centro</t>
  </si>
  <si>
    <t xml:space="preserve">Contra el patrimonio (hurto, robo, fraude)</t>
  </si>
  <si>
    <t xml:space="preserve">Contra la seguridad pública</t>
  </si>
  <si>
    <t xml:space="preserve">Contra la vida, el cuerpo y la salud</t>
  </si>
  <si>
    <t xml:space="preserve">Contra la libertad</t>
  </si>
  <si>
    <t xml:space="preserve">Otros</t>
  </si>
  <si>
    <t xml:space="preserve">Fuente: INEI (1T 2024), citado por El Comercio (2024).</t>
  </si>
  <si>
    <t xml:space="preserve">Año</t>
  </si>
  <si>
    <t xml:space="preserve">Tasa de victimización (% área urbana)</t>
  </si>
  <si>
    <t xml:space="preserve">2021</t>
  </si>
  <si>
    <t xml:space="preserve">2022</t>
  </si>
  <si>
    <t xml:space="preserve">2023</t>
  </si>
  <si>
    <t xml:space="preserve">2024</t>
  </si>
  <si>
    <t xml:space="preserve">Fuente: INEI Victimización en el Perú 2024; CEPLAN (2025).</t>
  </si>
  <si>
    <t xml:space="preserve">Caso / fuente</t>
  </si>
  <si>
    <t xml:space="preserve">Universidad / zona</t>
  </si>
  <si>
    <t xml:space="preserve">Tipo de hecho</t>
  </si>
  <si>
    <t xml:space="preserve">Robos de laptops y celulares a estudiantes</t>
  </si>
  <si>
    <t xml:space="preserve">Universidad de Lima (Surco)</t>
  </si>
  <si>
    <t xml:space="preserve">Robo en Av. Javier Prado y transporte público</t>
  </si>
  <si>
    <t xml:space="preserve">Asalto grupal a estudiantes en paradero</t>
  </si>
  <si>
    <t xml:space="preserve">UTP, UCH, U. Científica del Sur (Los Olivos)</t>
  </si>
  <si>
    <t xml:space="preserve">Robo en cuadra 71 Av. Alfredo Mendiola</t>
  </si>
  <si>
    <t xml:space="preserve">Asalto armado a estudiantes en Cercado de Lima</t>
  </si>
  <si>
    <t xml:space="preserve">PUCP</t>
  </si>
  <si>
    <t xml:space="preserve">Robo de camioneta, celulares y laptops (S/ 50 000)</t>
  </si>
  <si>
    <t xml:space="preserve">Acoso sexual en transporte público (Metropolitano y Metro)</t>
  </si>
  <si>
    <t xml:space="preserve">Universitarias de Lima</t>
  </si>
  <si>
    <t xml:space="preserve">Acoso físico 57%, verbal 78%, callejero 58%</t>
  </si>
  <si>
    <t xml:space="preserve">82,9% de jóvenes ha presenciado violencia cercana</t>
  </si>
  <si>
    <t xml:space="preserve">Estudios LATAM comparativos</t>
  </si>
  <si>
    <t xml:space="preserve">Exposición a violencia comunitaria</t>
  </si>
  <si>
    <t xml:space="preserve">Fuentes: Infobae (2024); RPP (2023); Dialnet/Universidad (2023); estudios académicos LATAM.</t>
  </si>
  <si>
    <t xml:space="preserve">Factor estructural</t>
  </si>
  <si>
    <t xml:space="preserve">Indicador / dato</t>
  </si>
  <si>
    <t xml:space="preserve">Fuente</t>
  </si>
  <si>
    <t xml:space="preserve">Confianza en la PNP</t>
  </si>
  <si>
    <t xml:space="preserve">Solo 20% de peruanos confía en la Policía</t>
  </si>
  <si>
    <t xml:space="preserve">INEI 2023 (cit. Infobae 2024)</t>
  </si>
  <si>
    <t xml:space="preserve">Percepción de aumento del delito</t>
  </si>
  <si>
    <t xml:space="preserve">89,3% de población urbana percibe inseguridad</t>
  </si>
  <si>
    <t xml:space="preserve">INEI 2024</t>
  </si>
  <si>
    <t xml:space="preserve">No denuncia</t>
  </si>
  <si>
    <t xml:space="preserve">Solo 16,1% de víctimas denuncia</t>
  </si>
  <si>
    <t xml:space="preserve">Subregistro juvenil</t>
  </si>
  <si>
    <t xml:space="preserve">Jóvenes denuncian aún menos por desconfianza</t>
  </si>
  <si>
    <t xml:space="preserve">Estudios académicos (2023)</t>
  </si>
  <si>
    <t xml:space="preserve">Instrumento / norma</t>
  </si>
  <si>
    <t xml:space="preserve">Contenido clave</t>
  </si>
  <si>
    <t xml:space="preserve">Ley N.º 27933 (SINASEC)</t>
  </si>
  <si>
    <t xml:space="preserve">Crea el SINASEC; promueve participación ciudadana e interoperabilidad de datos</t>
  </si>
  <si>
    <t xml:space="preserve">D.S. 006-2022-IN (PNMSC 2030)</t>
  </si>
  <si>
    <t xml:space="preserve">Política Nacional; meta: reducir victimización de 26,6% a 17% al 2030</t>
  </si>
  <si>
    <t xml:space="preserve">R.M. 0007-2024-IN (Plan Perú Seguro)</t>
  </si>
  <si>
    <t xml:space="preserve">Plan operativo de seguridad ciudadana</t>
  </si>
  <si>
    <t xml:space="preserve">Estado de emergencia Lima/Callao</t>
  </si>
  <si>
    <t xml:space="preserve">Prórrogas por crisis de inseguridad</t>
  </si>
  <si>
    <t xml:space="preserve">2024-2025</t>
  </si>
  <si>
    <t xml:space="preserve">Lineamientos PNUD/SENAJU</t>
  </si>
  <si>
    <t xml:space="preserve">Promoción de juventudes como agentes de cambio en seguridad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</si>
</sst>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i val="true"/>
      <sz val="9"/>
      <color rgb="FF555555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3C6E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3C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n">
        <v>2356</v>
      </c>
      <c r="C2" s="2" t="n">
        <v>4264</v>
      </c>
      <c r="D2" s="3" t="n">
        <f aca="false">(C2-B2)/B2</f>
        <v>0.809847198641766</v>
      </c>
    </row>
    <row r="3" customFormat="false" ht="15" hidden="false" customHeight="false" outlineLevel="0" collapsed="false">
      <c r="A3" s="2" t="s">
        <v>5</v>
      </c>
      <c r="B3" s="2" t="n">
        <v>1230</v>
      </c>
      <c r="C3" s="2" t="n">
        <v>1564</v>
      </c>
      <c r="D3" s="3" t="n">
        <f aca="false">(C3-B3)/B3</f>
        <v>0.271544715447154</v>
      </c>
    </row>
    <row r="4" customFormat="false" ht="15" hidden="false" customHeight="false" outlineLevel="0" collapsed="false">
      <c r="A4" s="2" t="s">
        <v>6</v>
      </c>
      <c r="B4" s="2" t="n">
        <v>1072</v>
      </c>
      <c r="C4" s="2" t="n">
        <v>2175</v>
      </c>
      <c r="D4" s="3" t="n">
        <f aca="false">(C4-B4)/B4</f>
        <v>1.02891791044776</v>
      </c>
    </row>
    <row r="5" customFormat="false" ht="15" hidden="false" customHeight="false" outlineLevel="0" collapsed="false">
      <c r="A5" s="2" t="s">
        <v>7</v>
      </c>
      <c r="B5" s="2" t="n">
        <v>490</v>
      </c>
      <c r="C5" s="2" t="n">
        <v>2066</v>
      </c>
      <c r="D5" s="3" t="n">
        <f aca="false">(C5-B5)/B5</f>
        <v>3.21632653061225</v>
      </c>
    </row>
    <row r="6" customFormat="false" ht="15" hidden="false" customHeight="false" outlineLevel="0" collapsed="false">
      <c r="A6" s="2" t="s">
        <v>8</v>
      </c>
      <c r="B6" s="2" t="n">
        <v>293</v>
      </c>
      <c r="C6" s="2" t="n">
        <v>785</v>
      </c>
      <c r="D6" s="3" t="n">
        <f aca="false">(C6-B6)/B6</f>
        <v>1.67918088737201</v>
      </c>
    </row>
    <row r="7" customFormat="false" ht="15" hidden="false" customHeight="false" outlineLevel="0" collapsed="false">
      <c r="A7" s="2" t="s">
        <v>9</v>
      </c>
      <c r="B7" s="2" t="n">
        <v>92</v>
      </c>
      <c r="C7" s="2" t="n">
        <v>426</v>
      </c>
      <c r="D7" s="3" t="n">
        <f aca="false">(C7-B7)/B7</f>
        <v>3.6304347826087</v>
      </c>
    </row>
    <row r="8" customFormat="false" ht="15" hidden="false" customHeight="false" outlineLevel="0" collapsed="false">
      <c r="A8" s="2" t="s">
        <v>10</v>
      </c>
      <c r="B8" s="2" t="n">
        <v>253</v>
      </c>
      <c r="C8" s="2" t="n">
        <v>277</v>
      </c>
      <c r="D8" s="3" t="n">
        <f aca="false">(C8-B8)/B8</f>
        <v>0.0948616600790514</v>
      </c>
    </row>
    <row r="9" customFormat="false" ht="15" hidden="false" customHeight="false" outlineLevel="0" collapsed="false">
      <c r="A9" s="2" t="s">
        <v>11</v>
      </c>
      <c r="B9" s="2" t="n">
        <v>246</v>
      </c>
      <c r="C9" s="2" t="n">
        <v>163</v>
      </c>
      <c r="D9" s="3" t="n">
        <f aca="false">(C9-B9)/B9</f>
        <v>-0.33739837398374</v>
      </c>
    </row>
    <row r="10" customFormat="false" ht="15" hidden="false" customHeight="true" outlineLevel="0" collapsed="false">
      <c r="A10" s="4" t="s">
        <v>12</v>
      </c>
      <c r="B10" s="4"/>
      <c r="C10" s="4"/>
      <c r="D10" s="4"/>
    </row>
  </sheetData>
  <mergeCells count="1"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8"/>
  </cols>
  <sheetData>
    <row r="1" customFormat="false" ht="15" hidden="false" customHeight="false" outlineLevel="0" collapsed="false">
      <c r="A1" s="1" t="s">
        <v>13</v>
      </c>
      <c r="B1" s="1" t="s">
        <v>14</v>
      </c>
    </row>
    <row r="2" customFormat="false" ht="15" hidden="false" customHeight="false" outlineLevel="0" collapsed="false">
      <c r="A2" s="2" t="s">
        <v>15</v>
      </c>
      <c r="B2" s="2" t="n">
        <v>83.2</v>
      </c>
    </row>
    <row r="3" customFormat="false" ht="15" hidden="false" customHeight="false" outlineLevel="0" collapsed="false">
      <c r="A3" s="2" t="s">
        <v>16</v>
      </c>
      <c r="B3" s="2" t="n">
        <v>6.5</v>
      </c>
    </row>
    <row r="4" customFormat="false" ht="15" hidden="false" customHeight="false" outlineLevel="0" collapsed="false">
      <c r="A4" s="2" t="s">
        <v>17</v>
      </c>
      <c r="B4" s="2" t="n">
        <v>5.1</v>
      </c>
    </row>
    <row r="5" customFormat="false" ht="15" hidden="false" customHeight="false" outlineLevel="0" collapsed="false">
      <c r="A5" s="2" t="s">
        <v>18</v>
      </c>
      <c r="B5" s="2" t="n">
        <v>3.1</v>
      </c>
    </row>
    <row r="6" customFormat="false" ht="15" hidden="false" customHeight="false" outlineLevel="0" collapsed="false">
      <c r="A6" s="2" t="s">
        <v>19</v>
      </c>
      <c r="B6" s="2" t="n">
        <v>2.1</v>
      </c>
    </row>
    <row r="7" customFormat="false" ht="15" hidden="false" customHeight="true" outlineLevel="0" collapsed="false">
      <c r="A7" s="4" t="s">
        <v>20</v>
      </c>
      <c r="B7" s="4"/>
    </row>
  </sheetData>
  <mergeCells count="1">
    <mergeCell ref="A7:B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</cols>
  <sheetData>
    <row r="1" customFormat="false" ht="28.35" hidden="false" customHeight="false" outlineLevel="0" collapsed="false">
      <c r="A1" s="1" t="s">
        <v>21</v>
      </c>
      <c r="B1" s="1" t="s">
        <v>22</v>
      </c>
    </row>
    <row r="2" customFormat="false" ht="15" hidden="false" customHeight="false" outlineLevel="0" collapsed="false">
      <c r="A2" s="2" t="s">
        <v>23</v>
      </c>
      <c r="B2" s="2" t="n">
        <v>18.2</v>
      </c>
    </row>
    <row r="3" customFormat="false" ht="15" hidden="false" customHeight="false" outlineLevel="0" collapsed="false">
      <c r="A3" s="2" t="s">
        <v>24</v>
      </c>
      <c r="B3" s="2" t="n">
        <v>22.4</v>
      </c>
    </row>
    <row r="4" customFormat="false" ht="15" hidden="false" customHeight="false" outlineLevel="0" collapsed="false">
      <c r="A4" s="2" t="s">
        <v>25</v>
      </c>
      <c r="B4" s="2" t="n">
        <v>26.3</v>
      </c>
    </row>
    <row r="5" customFormat="false" ht="15" hidden="false" customHeight="false" outlineLevel="0" collapsed="false">
      <c r="A5" s="2" t="s">
        <v>26</v>
      </c>
      <c r="B5" s="2" t="n">
        <v>27.1</v>
      </c>
    </row>
    <row r="6" customFormat="false" ht="15" hidden="false" customHeight="true" outlineLevel="0" collapsed="false">
      <c r="A6" s="4" t="s">
        <v>27</v>
      </c>
      <c r="B6" s="4"/>
    </row>
  </sheetData>
  <mergeCells count="1">
    <mergeCell ref="A6:B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2"/>
    <col collapsed="false" customWidth="true" hidden="false" outlineLevel="0" max="3" min="3" style="0" width="40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 t="s">
        <v>28</v>
      </c>
      <c r="B1" s="1" t="s">
        <v>29</v>
      </c>
      <c r="C1" s="1" t="s">
        <v>30</v>
      </c>
      <c r="D1" s="1" t="s">
        <v>21</v>
      </c>
    </row>
    <row r="2" customFormat="false" ht="15" hidden="false" customHeight="false" outlineLevel="0" collapsed="false">
      <c r="A2" s="5" t="s">
        <v>31</v>
      </c>
      <c r="B2" s="5" t="s">
        <v>32</v>
      </c>
      <c r="C2" s="5" t="s">
        <v>33</v>
      </c>
      <c r="D2" s="5" t="n">
        <v>2024</v>
      </c>
    </row>
    <row r="3" customFormat="false" ht="15" hidden="false" customHeight="false" outlineLevel="0" collapsed="false">
      <c r="A3" s="5" t="s">
        <v>34</v>
      </c>
      <c r="B3" s="5" t="s">
        <v>35</v>
      </c>
      <c r="C3" s="5" t="s">
        <v>36</v>
      </c>
      <c r="D3" s="5" t="n">
        <v>2023</v>
      </c>
    </row>
    <row r="4" customFormat="false" ht="15" hidden="false" customHeight="false" outlineLevel="0" collapsed="false">
      <c r="A4" s="5" t="s">
        <v>37</v>
      </c>
      <c r="B4" s="5" t="s">
        <v>38</v>
      </c>
      <c r="C4" s="5" t="s">
        <v>39</v>
      </c>
      <c r="D4" s="5" t="n">
        <v>2024</v>
      </c>
    </row>
    <row r="5" customFormat="false" ht="15" hidden="false" customHeight="false" outlineLevel="0" collapsed="false">
      <c r="A5" s="5" t="s">
        <v>40</v>
      </c>
      <c r="B5" s="5" t="s">
        <v>41</v>
      </c>
      <c r="C5" s="5" t="s">
        <v>42</v>
      </c>
      <c r="D5" s="5" t="n">
        <v>2023</v>
      </c>
    </row>
    <row r="6" customFormat="false" ht="15" hidden="false" customHeight="false" outlineLevel="0" collapsed="false">
      <c r="A6" s="5" t="s">
        <v>43</v>
      </c>
      <c r="B6" s="5" t="s">
        <v>44</v>
      </c>
      <c r="C6" s="5" t="s">
        <v>45</v>
      </c>
      <c r="D6" s="5" t="n">
        <v>2024</v>
      </c>
    </row>
    <row r="7" customFormat="false" ht="15" hidden="false" customHeight="true" outlineLevel="0" collapsed="false">
      <c r="A7" s="4" t="s">
        <v>46</v>
      </c>
      <c r="B7" s="4"/>
      <c r="C7" s="4"/>
      <c r="D7" s="4"/>
    </row>
  </sheetData>
  <mergeCells count="1">
    <mergeCell ref="A7:D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0"/>
    <col collapsed="false" customWidth="true" hidden="false" outlineLevel="0" max="3" min="3" style="0" width="30"/>
  </cols>
  <sheetData>
    <row r="1" customFormat="false" ht="15" hidden="false" customHeight="false" outlineLevel="0" collapsed="false">
      <c r="A1" s="1" t="s">
        <v>47</v>
      </c>
      <c r="B1" s="1" t="s">
        <v>48</v>
      </c>
      <c r="C1" s="1" t="s">
        <v>49</v>
      </c>
    </row>
    <row r="2" customFormat="false" ht="15" hidden="false" customHeight="false" outlineLevel="0" collapsed="false">
      <c r="A2" s="5" t="s">
        <v>50</v>
      </c>
      <c r="B2" s="5" t="s">
        <v>51</v>
      </c>
      <c r="C2" s="5" t="s">
        <v>52</v>
      </c>
    </row>
    <row r="3" customFormat="false" ht="15" hidden="false" customHeight="false" outlineLevel="0" collapsed="false">
      <c r="A3" s="5" t="s">
        <v>53</v>
      </c>
      <c r="B3" s="5" t="s">
        <v>54</v>
      </c>
      <c r="C3" s="5" t="s">
        <v>55</v>
      </c>
    </row>
    <row r="4" customFormat="false" ht="15" hidden="false" customHeight="false" outlineLevel="0" collapsed="false">
      <c r="A4" s="5" t="s">
        <v>56</v>
      </c>
      <c r="B4" s="5" t="s">
        <v>57</v>
      </c>
      <c r="C4" s="5" t="s">
        <v>55</v>
      </c>
    </row>
    <row r="5" customFormat="false" ht="15" hidden="false" customHeight="false" outlineLevel="0" collapsed="false">
      <c r="A5" s="5" t="s">
        <v>58</v>
      </c>
      <c r="B5" s="5" t="s">
        <v>59</v>
      </c>
      <c r="C5" s="5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5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1" t="s">
        <v>61</v>
      </c>
      <c r="B1" s="1" t="s">
        <v>62</v>
      </c>
      <c r="C1" s="1" t="s">
        <v>21</v>
      </c>
    </row>
    <row r="2" customFormat="false" ht="15" hidden="false" customHeight="false" outlineLevel="0" collapsed="false">
      <c r="A2" s="5" t="s">
        <v>63</v>
      </c>
      <c r="B2" s="5" t="s">
        <v>64</v>
      </c>
      <c r="C2" s="5" t="n">
        <v>2003</v>
      </c>
    </row>
    <row r="3" customFormat="false" ht="15" hidden="false" customHeight="false" outlineLevel="0" collapsed="false">
      <c r="A3" s="5" t="s">
        <v>65</v>
      </c>
      <c r="B3" s="5" t="s">
        <v>66</v>
      </c>
      <c r="C3" s="5" t="n">
        <v>2022</v>
      </c>
    </row>
    <row r="4" customFormat="false" ht="15" hidden="false" customHeight="false" outlineLevel="0" collapsed="false">
      <c r="A4" s="5" t="s">
        <v>67</v>
      </c>
      <c r="B4" s="5" t="s">
        <v>68</v>
      </c>
      <c r="C4" s="5" t="n">
        <v>2024</v>
      </c>
    </row>
    <row r="5" customFormat="false" ht="15" hidden="false" customHeight="false" outlineLevel="0" collapsed="false">
      <c r="A5" s="5" t="s">
        <v>69</v>
      </c>
      <c r="B5" s="5" t="s">
        <v>70</v>
      </c>
      <c r="C5" s="5" t="s">
        <v>71</v>
      </c>
    </row>
    <row r="6" customFormat="false" ht="15" hidden="false" customHeight="false" outlineLevel="0" collapsed="false">
      <c r="A6" s="5" t="s">
        <v>72</v>
      </c>
      <c r="B6" s="5" t="s">
        <v>73</v>
      </c>
      <c r="C6" s="5" t="n">
        <v>2024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2026-06-28T08:35:18Z</dcterms:created>
  <dc:creator>openpyxl</dc:creator>
  <dc:description/>
  <dc:language>en-US</dc:language>
  <cp:lastModifiedBy/>
  <dcterms:modified xsi:type="dcterms:W3CDTF">2026-06-28T08:35:18Z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