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sumen ejecutivo" sheetId="1" state="visible" r:id="rId3"/>
    <sheet name="2. Desarrollo tecnológico" sheetId="2" state="visible" r:id="rId4"/>
    <sheet name="3. Materiales y logística" sheetId="3" state="visible" r:id="rId5"/>
    <sheet name="4. Talleres y activación" sheetId="4" state="visible" r:id="rId6"/>
    <sheet name="5. Comunicación y difusión" sheetId="5" state="visible" r:id="rId7"/>
    <sheet name="6. Monitoreo y evaluación" sheetId="6" state="visible" r:id="rId8"/>
    <sheet name="7. Cronograma desembolsos" sheetId="7" state="visible" r:id="rId9"/>
    <sheet name="8. Contrapartid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<sst xmlns="http://schemas.openxmlformats.org/spreadsheetml/2006/main" count="333" uniqueCount="275">
  <si>
    <t xml:space="preserve">PRESUPUESTO DETALLADO — PROYECTO PreVe</t>
  </si>
  <si>
    <t xml:space="preserve">Sistema predictivo de seguridad para juventudes — Hackathon RedPública (PNUD)</t>
  </si>
  <si>
    <t xml:space="preserve">Información general</t>
  </si>
  <si>
    <t xml:space="preserve">Equipo:</t>
  </si>
  <si>
    <t xml:space="preserve">Minsky Devs (5 integrantes — UPC)</t>
  </si>
  <si>
    <t xml:space="preserve">Zona del piloto:</t>
  </si>
  <si>
    <t xml:space="preserve">Lima Centro (Cercado, Breña, La Victoria)</t>
  </si>
  <si>
    <t xml:space="preserve">Duración del piloto:</t>
  </si>
  <si>
    <t xml:space="preserve">60 días (Agosto – Octubre 2026)</t>
  </si>
  <si>
    <t xml:space="preserve">Beneficiarios directos:</t>
  </si>
  <si>
    <t xml:space="preserve">500+ estudiantes universitarios</t>
  </si>
  <si>
    <t xml:space="preserve">Universidades aliadas previstas:</t>
  </si>
  <si>
    <t xml:space="preserve">2 (en Lima Centro)</t>
  </si>
  <si>
    <t xml:space="preserve">Moneda:</t>
  </si>
  <si>
    <t xml:space="preserve">Soles peruanos (S/)</t>
  </si>
  <si>
    <t xml:space="preserve">Fondo PNUD solicitado:</t>
  </si>
  <si>
    <t xml:space="preserve">S/ 10 000,00</t>
  </si>
  <si>
    <t xml:space="preserve">Resumen por rubro</t>
  </si>
  <si>
    <t xml:space="preserve">N.º</t>
  </si>
  <si>
    <t xml:space="preserve">Rubro</t>
  </si>
  <si>
    <t xml:space="preserve">Monto (S/)</t>
  </si>
  <si>
    <t xml:space="preserve">% del total</t>
  </si>
  <si>
    <t xml:space="preserve">Hoja de detalle</t>
  </si>
  <si>
    <t xml:space="preserve">Desarrollo tecnológico</t>
  </si>
  <si>
    <t xml:space="preserve">Hoja 2</t>
  </si>
  <si>
    <t xml:space="preserve">Materiales y logística de campo</t>
  </si>
  <si>
    <t xml:space="preserve">Hoja 3</t>
  </si>
  <si>
    <t xml:space="preserve">Talleres y activación comunitaria</t>
  </si>
  <si>
    <t xml:space="preserve">Hoja 4</t>
  </si>
  <si>
    <t xml:space="preserve">Comunicación y difusión</t>
  </si>
  <si>
    <t xml:space="preserve">Hoja 5</t>
  </si>
  <si>
    <t xml:space="preserve">Monitoreo, evaluación y reportes</t>
  </si>
  <si>
    <t xml:space="preserve">Hoja 6</t>
  </si>
  <si>
    <t xml:space="preserve">TOTAL FONDO PNUD</t>
  </si>
  <si>
    <t xml:space="preserve">Notas:</t>
  </si>
  <si>
    <t xml:space="preserve">• Todos los montos están expresados en soles peruanos (PEN).</t>
  </si>
  <si>
    <t xml:space="preserve">• Servicios cotizados en USD se convierten al tipo de cambio operacional de Naciones Unidas vigente al momento del desembolso.</t>
  </si>
  <si>
    <t xml:space="preserve">• El presupuesto se ajusta exactamente al Fondo de Innovación Juvenil del PNUD (S/ 10 000,00).</t>
  </si>
  <si>
    <t xml:space="preserve">• Se considera además contrapartida no monetaria del equipo y de universidades aliadas (ver Hoja 8).</t>
  </si>
  <si>
    <t xml:space="preserve">RUBRO 1: DESARROLLO TECNOLÓGICO</t>
  </si>
  <si>
    <t xml:space="preserve">Cubre toda la infraestructura técnica necesaria para que la plataforma quede operativa durante el piloto: servidores, mensajería WhatsApp, APIs de mapas y modelos de IA, dominio y herramientas de despliegue.</t>
  </si>
  <si>
    <t xml:space="preserve">Ítem</t>
  </si>
  <si>
    <t xml:space="preserve">Descripción</t>
  </si>
  <si>
    <t xml:space="preserve">Unidad</t>
  </si>
  <si>
    <t xml:space="preserve">Cantidad</t>
  </si>
  <si>
    <t xml:space="preserve">P. unitario (S/)</t>
  </si>
  <si>
    <t xml:space="preserve">Subtotal (S/)</t>
  </si>
  <si>
    <t xml:space="preserve">Servidor cloud</t>
  </si>
  <si>
    <t xml:space="preserve">Hosting backend + base de datos PostgreSQL (Railway/Render plan inicial)</t>
  </si>
  <si>
    <t xml:space="preserve">mes</t>
  </si>
  <si>
    <t xml:space="preserve">Twilio WhatsApp Business API</t>
  </si>
  <si>
    <t xml:space="preserve">Mensajería WhatsApp para chatbot (sesión + plantillas)</t>
  </si>
  <si>
    <t xml:space="preserve">Dominio web</t>
  </si>
  <si>
    <t xml:space="preserve">Registro de dominio .pe por 1 año</t>
  </si>
  <si>
    <t xml:space="preserve">año</t>
  </si>
  <si>
    <t xml:space="preserve">Certificado SSL</t>
  </si>
  <si>
    <t xml:space="preserve">Certificado para HTTPS (Let's Encrypt + configuración profesional)</t>
  </si>
  <si>
    <t xml:space="preserve">und</t>
  </si>
  <si>
    <t xml:space="preserve">API Google Maps</t>
  </si>
  <si>
    <t xml:space="preserve">Maps JavaScript API + Geocoding para mapa de calor</t>
  </si>
  <si>
    <t xml:space="preserve">Servicios de IA (OpenAI / Claude API)</t>
  </si>
  <si>
    <t xml:space="preserve">Procesamiento NLP para extraer datos del lenguaje natural</t>
  </si>
  <si>
    <t xml:space="preserve">Herramientas dev y CI/CD</t>
  </si>
  <si>
    <t xml:space="preserve">GitHub Pro, Vercel, herramientas de despliegue continuo</t>
  </si>
  <si>
    <t xml:space="preserve">Suscripción a base de datos pública</t>
  </si>
  <si>
    <t xml:space="preserve">Acceso a Datos Abiertos del Estado y backups</t>
  </si>
  <si>
    <t xml:space="preserve">Buffer técnico</t>
  </si>
  <si>
    <t xml:space="preserve">Reserva para imprevistos técnicos (errores de cobranza, ajustes de plan, sobre-uso)</t>
  </si>
  <si>
    <t xml:space="preserve">TOTAL DEL RUBRO</t>
  </si>
  <si>
    <t xml:space="preserve">Supuestos y notas por ítem</t>
  </si>
  <si>
    <t xml:space="preserve">• Servidor cloud:</t>
  </si>
  <si>
    <t xml:space="preserve">Plan inicial de Railway/Render ≈ USD 12-15/mes incluyendo BD; cubre los 60 días del piloto y un mes de configuración previa.</t>
  </si>
  <si>
    <t xml:space="preserve">• Twilio WhatsApp Business API:</t>
  </si>
  <si>
    <t xml:space="preserve">Estimado USD 75/mes para ~3 000 mensajes (entrantes + plantillas de alerta). Incluye número de pruebas en sandbox y producción.</t>
  </si>
  <si>
    <t xml:space="preserve">• Dominio web:</t>
  </si>
  <si>
    <t xml:space="preserve">Costo promedio de un dominio .pe (Punto Pe / NIC.pe) entre S/ 80-150 según renovación.</t>
  </si>
  <si>
    <t xml:space="preserve">• Certificado SSL:</t>
  </si>
  <si>
    <t xml:space="preserve">Let's Encrypt es gratuito; el monto cubre la configuración inicial profesional con renovación automática.</t>
  </si>
  <si>
    <t xml:space="preserve">• API Google Maps:</t>
  </si>
  <si>
    <t xml:space="preserve">USD 200 mensuales de crédito gratuito de Google + estimado USD 50/mes adicional según volumen de cargas.</t>
  </si>
  <si>
    <t xml:space="preserve">• Servicios de IA (OpenAI / Claude API):</t>
  </si>
  <si>
    <t xml:space="preserve">Estimado USD 50/mes para ~5 000 mensajes procesados con modelos ligeros (GPT-4o-mini o Claude Haiku).</t>
  </si>
  <si>
    <t xml:space="preserve">• Herramientas dev y CI/CD:</t>
  </si>
  <si>
    <t xml:space="preserve">GitHub Pro USD 4/mes por usuario y Vercel plan Hobby gratuito; cubre 3 miembros del equipo en plan Pro.</t>
  </si>
  <si>
    <t xml:space="preserve">• Suscripción a base de datos pública:</t>
  </si>
  <si>
    <t xml:space="preserve">Almacenamiento adicional en la nube para backups del dataset y datos descargados de DATACRIM/INEI.</t>
  </si>
  <si>
    <t xml:space="preserve">• Buffer técnico:</t>
  </si>
  <si>
    <t xml:space="preserve">Buffer del ~12% del rubro para cubrir desviaciones cambiarias (USD/PEN) y excesos de cuotas en APIs.</t>
  </si>
  <si>
    <t xml:space="preserve">RUBRO 2: MATERIALES Y LOGÍSTICA</t>
  </si>
  <si>
    <t xml:space="preserve">Cubre el material físico necesario para la activación territorial del piloto en universidades y paraderos clave de Lima Centro, así como la movilidad del equipo durante los 60 días.</t>
  </si>
  <si>
    <t xml:space="preserve">Afiches A3</t>
  </si>
  <si>
    <t xml:space="preserve">Afiches informativos con código QR para universidades y paraderos</t>
  </si>
  <si>
    <t xml:space="preserve">Stickers con QR</t>
  </si>
  <si>
    <t xml:space="preserve">Stickers vinílicos resistentes para fijar en paraderos y zonas estratégicas</t>
  </si>
  <si>
    <t xml:space="preserve">Volantes A5</t>
  </si>
  <si>
    <t xml:space="preserve">Volantes de difusión para entregar en activaciones universitarias</t>
  </si>
  <si>
    <t xml:space="preserve">Roll-up promocional</t>
  </si>
  <si>
    <t xml:space="preserve">Banner para mesas de activación (1 unidad)</t>
  </si>
  <si>
    <t xml:space="preserve">Refrigerios talleres</t>
  </si>
  <si>
    <t xml:space="preserve">Refrigerio simple para asistentes a 3 talleres (jugo + sándwich)</t>
  </si>
  <si>
    <t xml:space="preserve">ración</t>
  </si>
  <si>
    <t xml:space="preserve">Movilidad del equipo</t>
  </si>
  <si>
    <t xml:space="preserve">Pasajes y viáticos de campo del equipo durante el piloto</t>
  </si>
  <si>
    <t xml:space="preserve">viaje</t>
  </si>
  <si>
    <t xml:space="preserve">Imprevistos logísticos</t>
  </si>
  <si>
    <t xml:space="preserve">Reserva para gastos no previstos en logística de campo</t>
  </si>
  <si>
    <t xml:space="preserve">• Afiches A3:</t>
  </si>
  <si>
    <t xml:space="preserve">Impresión a color en papel couché 150 g; cotización promedio Lima centro S/ 3-4 por unidad para tirajes de 100.</t>
  </si>
  <si>
    <t xml:space="preserve">• Stickers con QR:</t>
  </si>
  <si>
    <t xml:space="preserve">Stickers vinílicos 10x10 cm; precio promedio S/ 1-1,5 por unidad en imprentas digitales locales.</t>
  </si>
  <si>
    <t xml:space="preserve">• Volantes A5:</t>
  </si>
  <si>
    <t xml:space="preserve">Tiraje volante A5 a una cara, papel bond 90 g; precio promedio S/ 0,25-0,35 unidad.</t>
  </si>
  <si>
    <t xml:space="preserve">• Roll-up promocional:</t>
  </si>
  <si>
    <t xml:space="preserve">Roll-up estándar 80x200 cm; cotización promedio S/ 100-140 por unidad incluyendo diseño.</t>
  </si>
  <si>
    <t xml:space="preserve">• Refrigerios talleres:</t>
  </si>
  <si>
    <t xml:space="preserve">30 asistentes por taller x 3 talleres = 90 raciones; refrigerio simple S/ 5-7 por persona.</t>
  </si>
  <si>
    <t xml:space="preserve">• Movilidad del equipo:</t>
  </si>
  <si>
    <t xml:space="preserve">30 desplazamientos en taxi/Uber/transporte público para coordinaciones, entrega de materiales y visitas de campo.</t>
  </si>
  <si>
    <t xml:space="preserve">• Imprevistos logísticos:</t>
  </si>
  <si>
    <t xml:space="preserve">Buffer del ~4% del rubro para reposición de material dañado, transporte adicional o materiales menores.</t>
  </si>
  <si>
    <t xml:space="preserve">RUBRO 3: TALLERES Y ACTIVACIÓN</t>
  </si>
  <si>
    <t xml:space="preserve">Cubre la realización de 3 talleres con la comunidad estudiantil en universidades aliadas y la sesión de cierre con autoridades. Es el rubro clave para asegurar la adopción real de la plataforma.</t>
  </si>
  <si>
    <t xml:space="preserve">Alquiler de aulas/auditorios</t>
  </si>
  <si>
    <t xml:space="preserve">Espacio para 3 talleres en universidades aliadas (caso de no obtener cesión gratuita)</t>
  </si>
  <si>
    <t xml:space="preserve">taller</t>
  </si>
  <si>
    <t xml:space="preserve">Honorarios facilitadores externos</t>
  </si>
  <si>
    <t xml:space="preserve">Especialistas invitados en seguridad ciudadana / tecnología (1 por taller)</t>
  </si>
  <si>
    <t xml:space="preserve">sesión</t>
  </si>
  <si>
    <t xml:space="preserve">Material didáctico</t>
  </si>
  <si>
    <t xml:space="preserve">Cuadernillos, lapiceros, fichas de registro y stickers para participantes</t>
  </si>
  <si>
    <t xml:space="preserve">kit</t>
  </si>
  <si>
    <t xml:space="preserve">Sorteos e incentivos</t>
  </si>
  <si>
    <t xml:space="preserve">Pequeños incentivos para fomentar el registro de usuarios en talleres (cargadores, audífonos básicos)</t>
  </si>
  <si>
    <t xml:space="preserve">incentivo</t>
  </si>
  <si>
    <t xml:space="preserve">Sesión de cierre con autoridades</t>
  </si>
  <si>
    <t xml:space="preserve">Evento de cierre con representantes de PNUD, universidades aliadas y municipalidad</t>
  </si>
  <si>
    <t xml:space="preserve">evento</t>
  </si>
  <si>
    <t xml:space="preserve">Diseño de contenidos formativos</t>
  </si>
  <si>
    <t xml:space="preserve">Honorarios por diseño pedagógico de los talleres (slides, dinámicas)</t>
  </si>
  <si>
    <t xml:space="preserve">consultoría</t>
  </si>
  <si>
    <t xml:space="preserve">• Alquiler de aulas/auditorios:</t>
  </si>
  <si>
    <t xml:space="preserve">Alquiler de aula con proyector ≈ S/ 100-200 por sesión de 2 h; se priorizará cesión gratuita por aliados.</t>
  </si>
  <si>
    <t xml:space="preserve">• Honorarios facilitadores externos:</t>
  </si>
  <si>
    <t xml:space="preserve">Honorarios profesionales para 1 especialista invitado por taller (criminólogo, dev senior, comunicador social).</t>
  </si>
  <si>
    <t xml:space="preserve">• Material didáctico:</t>
  </si>
  <si>
    <t xml:space="preserve">Kit por participante en los 3 talleres (~30 asistentes c/u); cuadernillo + lapicero + ficha.</t>
  </si>
  <si>
    <t xml:space="preserve">• Sorteos e incentivos:</t>
  </si>
  <si>
    <t xml:space="preserve">4 incentivos por taller para participación activa y registros completos; promedio S/ 20 por ítem.</t>
  </si>
  <si>
    <t xml:space="preserve">• Sesión de cierre con autoridades:</t>
  </si>
  <si>
    <t xml:space="preserve">Sesión presencial de 2 h con coffee break ligero, material de presentación y traslados de invitados.</t>
  </si>
  <si>
    <t xml:space="preserve">• Diseño de contenidos formativos:</t>
  </si>
  <si>
    <t xml:space="preserve">Diseño profesional de los 3 talleres por consultor externo o reconocimiento al miembro del equipo a cargo.</t>
  </si>
  <si>
    <t xml:space="preserve">RUBRO 4: COMUNICACIÓN Y DIFUSIÓN</t>
  </si>
  <si>
    <t xml:space="preserve">Cubre el desarrollo de la identidad visual del proyecto, la producción de contenidos audiovisuales y la pauta digital orientada específicamente a estudiantes universitarios de Lima Centro.</t>
  </si>
  <si>
    <t xml:space="preserve">Diseño de identidad visual</t>
  </si>
  <si>
    <t xml:space="preserve">Logotipo, paleta, manual de marca y plantillas para redes sociales</t>
  </si>
  <si>
    <t xml:space="preserve">Producción de video institucional</t>
  </si>
  <si>
    <t xml:space="preserve">Video corto (1-2 min) sobre el problema y la solución PreVe</t>
  </si>
  <si>
    <t xml:space="preserve">Pauta digital focalizada</t>
  </si>
  <si>
    <t xml:space="preserve">Anuncios en Instagram y TikTok dirigidos a jóvenes universitarios de Lima Centro</t>
  </si>
  <si>
    <t xml:space="preserve">Producción de contenidos para redes</t>
  </si>
  <si>
    <t xml:space="preserve">Diseño de 20 piezas para redes sociales durante el piloto</t>
  </si>
  <si>
    <t xml:space="preserve">pieza</t>
  </si>
  <si>
    <t xml:space="preserve">Notas de prensa y difusión</t>
  </si>
  <si>
    <t xml:space="preserve">Redacción y distribución a medios universitarios y locales</t>
  </si>
  <si>
    <t xml:space="preserve">• Diseño de identidad visual:</t>
  </si>
  <si>
    <t xml:space="preserve">Diseño gráfico profesional; rango Lima S/ 300-500 para identidad básica con manual.</t>
  </si>
  <si>
    <t xml:space="preserve">• Producción de video institucional:</t>
  </si>
  <si>
    <t xml:space="preserve">Producción audiovisual básica con motion graphics; S/ 300-450 según complejidad y duración.</t>
  </si>
  <si>
    <t xml:space="preserve">• Pauta digital focalizada:</t>
  </si>
  <si>
    <t xml:space="preserve">Pauta digital segmentada por edad (18-29) y zona (Lima Centro); CPM bajo en audiencia local.</t>
  </si>
  <si>
    <t xml:space="preserve">• Producción de contenidos para redes:</t>
  </si>
  <si>
    <t xml:space="preserve">Costo unitario por pieza editada (post + story); estimación local de community management.</t>
  </si>
  <si>
    <t xml:space="preserve">• Notas de prensa y difusión:</t>
  </si>
  <si>
    <t xml:space="preserve">Honorario simbólico para redacción profesional de 2-3 notas de prensa y gestión con medios universitarios.</t>
  </si>
  <si>
    <t xml:space="preserve">RUBRO 5: MONITOREO Y EVALUACIÓN</t>
  </si>
  <si>
    <t xml:space="preserve">Cubre la evaluación rigurosa del piloto: diseño de instrumentos, aplicación de encuestas, análisis estadístico, elaboración de informes (avance y final) y sistematización de aprendizajes.</t>
  </si>
  <si>
    <t xml:space="preserve">Diseño de encuestas y formularios</t>
  </si>
  <si>
    <t xml:space="preserve">Diseño metodológico de encuestas de línea de base, intermedia y final</t>
  </si>
  <si>
    <t xml:space="preserve">Aplicación y procesamiento de encuestas</t>
  </si>
  <si>
    <t xml:space="preserve">Trabajo de campo para aplicar las 3 mediciones a usuarios del piloto</t>
  </si>
  <si>
    <t xml:space="preserve">encuesta</t>
  </si>
  <si>
    <t xml:space="preserve">Análisis estadístico</t>
  </si>
  <si>
    <t xml:space="preserve">Análisis cuantitativo de resultados con Python/Power BI</t>
  </si>
  <si>
    <t xml:space="preserve">Elaboración de informe de avance</t>
  </si>
  <si>
    <t xml:space="preserve">Informe parcial a los 30 días del piloto</t>
  </si>
  <si>
    <t xml:space="preserve">informe</t>
  </si>
  <si>
    <t xml:space="preserve">Elaboración de informe final</t>
  </si>
  <si>
    <t xml:space="preserve">Informe de cierre con resultados, aprendizajes y recomendaciones</t>
  </si>
  <si>
    <t xml:space="preserve">Sistematización de aprendizajes</t>
  </si>
  <si>
    <t xml:space="preserve">Documento de buenas prácticas y casos de uso para replicabilidad</t>
  </si>
  <si>
    <t xml:space="preserve">documento</t>
  </si>
  <si>
    <t xml:space="preserve">• Diseño de encuestas y formularios:</t>
  </si>
  <si>
    <t xml:space="preserve">Diseño metodológico de 3 instrumentos (KoboToolbox/Google Forms); incluye pretest con 5 usuarios.</t>
  </si>
  <si>
    <t xml:space="preserve">• Aplicación y procesamiento de encuestas:</t>
  </si>
  <si>
    <t xml:space="preserve">150 encuestas total (50 por momento de medición); costo simbólico por aplicación y procesamiento.</t>
  </si>
  <si>
    <t xml:space="preserve">• Análisis estadístico:</t>
  </si>
  <si>
    <t xml:space="preserve">Análisis estadístico de variables del piloto, indicadores clave y elaboración de gráficos para informes.</t>
  </si>
  <si>
    <t xml:space="preserve">• Elaboración de informe de avance:</t>
  </si>
  <si>
    <t xml:space="preserve">Informe formal a los 30 días con avances, primeras métricas y aprendizajes preliminares para el PNUD.</t>
  </si>
  <si>
    <t xml:space="preserve">• Elaboración de informe final:</t>
  </si>
  <si>
    <t xml:space="preserve">Informe final completo con metodología, resultados, sistematización de aprendizajes y recomendaciones.</t>
  </si>
  <si>
    <t xml:space="preserve">• Sistematización de aprendizajes:</t>
  </si>
  <si>
    <t xml:space="preserve">Documento abierto que permita a otras iniciativas replicar la metodología de PreVe en otras zonas.</t>
  </si>
  <si>
    <t xml:space="preserve">CRONOGRAMA DE DESEMBOLSOS</t>
  </si>
  <si>
    <t xml:space="preserve">El PNUD se reserva el derecho de organizar los desembolsos en dos transferencias. Se propone la siguiente distribución temporal:</t>
  </si>
  <si>
    <t xml:space="preserve">Mes 1 (S/)</t>
  </si>
  <si>
    <t xml:space="preserve">Mes 2 (S/)</t>
  </si>
  <si>
    <t xml:space="preserve">Mes 3 (S/)</t>
  </si>
  <si>
    <t xml:space="preserve">Total (S/)</t>
  </si>
  <si>
    <t xml:space="preserve">% del rubro</t>
  </si>
  <si>
    <t xml:space="preserve">Justificación</t>
  </si>
  <si>
    <t xml:space="preserve">60% al inicio (infra, licencias anuales). 28% en mes 2 (operación). 12% en mes 3 (cierre).</t>
  </si>
  <si>
    <t xml:space="preserve">Materiales y logística</t>
  </si>
  <si>
    <t xml:space="preserve">67% al inicio para producir todo el material físico antes de los talleres.</t>
  </si>
  <si>
    <t xml:space="preserve">Talleres y activación</t>
  </si>
  <si>
    <t xml:space="preserve">Mayor desembolso en mes 2 (talleres principales). Mes 3 para sesión de cierre.</t>
  </si>
  <si>
    <t xml:space="preserve">47% al inicio para identidad y video. Pauta digital distribuida en meses 2 y 3.</t>
  </si>
  <si>
    <t xml:space="preserve">Monitoreo y evaluación</t>
  </si>
  <si>
    <t xml:space="preserve">Crece progresivamente: diseño inicial → aplicación intermedia → informe final.</t>
  </si>
  <si>
    <t xml:space="preserve">TOTAL POR MES</t>
  </si>
  <si>
    <t xml:space="preserve">100%</t>
  </si>
  <si>
    <t xml:space="preserve">Propuesta de transferencias por parte del PNUD</t>
  </si>
  <si>
    <t xml:space="preserve">Transferencia</t>
  </si>
  <si>
    <t xml:space="preserve">Momento</t>
  </si>
  <si>
    <t xml:space="preserve">1.ª transferencia</t>
  </si>
  <si>
    <t xml:space="preserve">Al inicio del piloto (firma del acuerdo)</t>
  </si>
  <si>
    <t xml:space="preserve">60% del total — para cubrir gastos de arranque (infraestructura, materiales, primeros talleres)</t>
  </si>
  <si>
    <t xml:space="preserve">2.ª transferencia</t>
  </si>
  <si>
    <t xml:space="preserve">Tras aprobación del informe de avance (día 30)</t>
  </si>
  <si>
    <t xml:space="preserve">40% del total — para cubrir actividades del mes 2-3, evaluación final y cierre</t>
  </si>
  <si>
    <t xml:space="preserve">CONTRAPARTIDA NO MONETARIA Y ANÁLISIS DE SOSTENIBILIDAD</t>
  </si>
  <si>
    <t xml:space="preserve">Esta hoja detalla los aportes no monetarios que multiplican el impacto del Fondo PNUD y la estrategia de sostenibilidad post-piloto. Aunque el presupuesto financiero es de S/ 10 000, el valor total movilizado supera los S/ 30 000 considerando la contrapartida.</t>
  </si>
  <si>
    <t xml:space="preserve">Contrapartida no monetaria del equipo</t>
  </si>
  <si>
    <t xml:space="preserve">Concepto</t>
  </si>
  <si>
    <t xml:space="preserve">Aportante</t>
  </si>
  <si>
    <t xml:space="preserve">Detalle</t>
  </si>
  <si>
    <t xml:space="preserve">Horas / Cantidad</t>
  </si>
  <si>
    <t xml:space="preserve">Valor estimado (S/)</t>
  </si>
  <si>
    <t xml:space="preserve">Horas de desarrollo de software</t>
  </si>
  <si>
    <t xml:space="preserve">Equipo (4 estudiantes ing. SW/SI)</t>
  </si>
  <si>
    <t xml:space="preserve">Desarrollo del backend, frontend y modelo ML</t>
  </si>
  <si>
    <t xml:space="preserve">Horas de gestión y análisis de datos</t>
  </si>
  <si>
    <t xml:space="preserve">Estudiante de Ing. Industrial</t>
  </si>
  <si>
    <t xml:space="preserve">Análisis de datos, gestión del proyecto, KPIs</t>
  </si>
  <si>
    <t xml:space="preserve">Infraestructura universitaria</t>
  </si>
  <si>
    <t xml:space="preserve">UPC / universidades aliadas</t>
  </si>
  <si>
    <t xml:space="preserve">Aulas, conectividad, equipos para reuniones</t>
  </si>
  <si>
    <t xml:space="preserve">—</t>
  </si>
  <si>
    <t xml:space="preserve">Mentoría académica</t>
  </si>
  <si>
    <t xml:space="preserve">Docentes universitarios</t>
  </si>
  <si>
    <t xml:space="preserve">Asesoría técnica y metodológica voluntaria</t>
  </si>
  <si>
    <t xml:space="preserve">Difusión institucional</t>
  </si>
  <si>
    <t xml:space="preserve">Universidades aliadas</t>
  </si>
  <si>
    <t xml:space="preserve">Difusión a través de canales oficiales y bolsas de empleo</t>
  </si>
  <si>
    <t xml:space="preserve">Tiempo voluntario de estudiantes</t>
  </si>
  <si>
    <t xml:space="preserve">Embajadores PreVe en universidades</t>
  </si>
  <si>
    <t xml:space="preserve">Difusión peer-to-peer, registro de usuarios</t>
  </si>
  <si>
    <t xml:space="preserve">TOTAL CONTRAPARTIDA</t>
  </si>
  <si>
    <t xml:space="preserve">Valor total movilizado por el proyecto</t>
  </si>
  <si>
    <t xml:space="preserve">Fondo PNUD (monetario)</t>
  </si>
  <si>
    <t xml:space="preserve">Contrapartida no monetaria</t>
  </si>
  <si>
    <t xml:space="preserve">VALOR TOTAL DEL PROYECTO</t>
  </si>
  <si>
    <t xml:space="preserve">Estrategia de sostenibilidad post-piloto</t>
  </si>
  <si>
    <t xml:space="preserve">Vía de sostenibilidad</t>
  </si>
  <si>
    <t xml:space="preserve">Convenios con universidades</t>
  </si>
  <si>
    <t xml:space="preserve">Las universidades aliadas aportan infraestructura y operación a cambio de mejorar la seguridad de su comunidad</t>
  </si>
  <si>
    <t xml:space="preserve">Acuerdos con municipalidades</t>
  </si>
  <si>
    <t xml:space="preserve">Pago por acceso a datos agregados anonimizados para serenazgo y patrullaje inteligente</t>
  </si>
  <si>
    <t xml:space="preserve">Fondos concursables</t>
  </si>
  <si>
    <t xml:space="preserve">Postulación a Innovate Perú, ProInnóvate, fondos internacionales (BID Lab, Google.org)</t>
  </si>
  <si>
    <t xml:space="preserve">Modelo freemium institucional</t>
  </si>
  <si>
    <t xml:space="preserve">Versión básica gratuita; versión premium con dashboards avanzados para gestores municipales</t>
  </si>
  <si>
    <t xml:space="preserve">Patrocinio corporativo (RSE)</t>
  </si>
  <si>
    <t xml:space="preserve">Auspicios de empresas tecnológicas y de telecomunicaciones interesadas en RSE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</si>
</sst>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C6E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2"/>
      <color rgb="FF2563EB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A3C6E"/>
      <name val="Cambria"/>
      <family val="0"/>
      <charset val="1"/>
    </font>
    <font>
      <b val="true"/>
      <sz val="11"/>
      <color rgb="FF555555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4"/>
      <color rgb="FF1A3C6E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2563EB"/>
      <name val="Cambria"/>
      <family val="0"/>
      <charset val="1"/>
    </font>
    <font>
      <b val="true"/>
      <sz val="10"/>
      <color rgb="FF555555"/>
      <name val="Cambria"/>
      <family val="0"/>
      <charset val="1"/>
    </font>
    <font>
      <sz val="10"/>
      <color rgb="FF555555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color rgb="FF1A3C6E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3"/>
      <color rgb="FF1A3C6E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FFF4D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  <border diagonalUp="false" diagonalDown="false">
      <left style="thin">
        <color rgb="FFBFC9D6"/>
      </left>
      <right style="thin">
        <color rgb="FFBFC9D6"/>
      </right>
      <top style="thin">
        <color rgb="FFBFC9D6"/>
      </top>
      <bottom style="medium">
        <color rgb="FF1A3C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6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55555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  <c r="E6" s="5"/>
    </row>
    <row r="7" customFormat="false" ht="15" hidden="false" customHeight="false" outlineLevel="0" collapsed="false">
      <c r="A7" s="4" t="s">
        <v>7</v>
      </c>
      <c r="B7" s="5" t="s">
        <v>8</v>
      </c>
      <c r="C7" s="5"/>
      <c r="D7" s="5"/>
      <c r="E7" s="5"/>
    </row>
    <row r="8" customFormat="false" ht="15" hidden="false" customHeight="false" outlineLevel="0" collapsed="false">
      <c r="A8" s="4" t="s">
        <v>9</v>
      </c>
      <c r="B8" s="5" t="s">
        <v>10</v>
      </c>
      <c r="C8" s="5"/>
      <c r="D8" s="5"/>
      <c r="E8" s="5"/>
    </row>
    <row r="9" customFormat="false" ht="15" hidden="false" customHeight="false" outlineLevel="0" collapsed="false">
      <c r="A9" s="4" t="s">
        <v>11</v>
      </c>
      <c r="B9" s="5" t="s">
        <v>12</v>
      </c>
      <c r="C9" s="5"/>
      <c r="D9" s="5"/>
      <c r="E9" s="5"/>
    </row>
    <row r="10" customFormat="false" ht="15" hidden="false" customHeight="false" outlineLevel="0" collapsed="false">
      <c r="A10" s="4" t="s">
        <v>13</v>
      </c>
      <c r="B10" s="5" t="s">
        <v>14</v>
      </c>
      <c r="C10" s="5"/>
      <c r="D10" s="5"/>
      <c r="E10" s="5"/>
    </row>
    <row r="11" customFormat="false" ht="15" hidden="false" customHeight="false" outlineLevel="0" collapsed="false">
      <c r="A11" s="4" t="s">
        <v>15</v>
      </c>
      <c r="B11" s="5" t="s">
        <v>16</v>
      </c>
      <c r="C11" s="5"/>
      <c r="D11" s="5"/>
      <c r="E11" s="5"/>
    </row>
    <row r="14" customFormat="false" ht="15" hidden="false" customHeight="false" outlineLevel="0" collapsed="false">
      <c r="A14" s="3" t="s">
        <v>17</v>
      </c>
    </row>
    <row r="16" customFormat="false" ht="15" hidden="false" customHeight="false" outlineLevel="0" collapsed="false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</row>
    <row r="17" customFormat="false" ht="15" hidden="false" customHeight="false" outlineLevel="0" collapsed="false">
      <c r="A17" s="7" t="n">
        <v>1</v>
      </c>
      <c r="B17" s="8" t="s">
        <v>23</v>
      </c>
      <c r="C17" s="9" t="n">
        <f aca="false">'2. Desarrollo tecnológico'!F14</f>
        <v>3500</v>
      </c>
      <c r="D17" s="10" t="n">
        <f aca="false">C17/$C$22</f>
        <v>0.35</v>
      </c>
      <c r="E17" s="11" t="s">
        <v>24</v>
      </c>
    </row>
    <row r="18" customFormat="false" ht="15" hidden="false" customHeight="false" outlineLevel="0" collapsed="false">
      <c r="A18" s="7" t="n">
        <v>2</v>
      </c>
      <c r="B18" s="8" t="s">
        <v>25</v>
      </c>
      <c r="C18" s="9" t="n">
        <f aca="false">'3. Materiales y logística'!F12</f>
        <v>1800</v>
      </c>
      <c r="D18" s="10" t="n">
        <f aca="false">C18/$C$22</f>
        <v>0.18</v>
      </c>
      <c r="E18" s="11" t="s">
        <v>26</v>
      </c>
    </row>
    <row r="19" customFormat="false" ht="15" hidden="false" customHeight="false" outlineLevel="0" collapsed="false">
      <c r="A19" s="7" t="n">
        <v>3</v>
      </c>
      <c r="B19" s="8" t="s">
        <v>27</v>
      </c>
      <c r="C19" s="9" t="n">
        <f aca="false">'4. Talleres y activación'!F11</f>
        <v>2200</v>
      </c>
      <c r="D19" s="10" t="n">
        <f aca="false">C19/$C$22</f>
        <v>0.22</v>
      </c>
      <c r="E19" s="11" t="s">
        <v>28</v>
      </c>
    </row>
    <row r="20" customFormat="false" ht="15" hidden="false" customHeight="false" outlineLevel="0" collapsed="false">
      <c r="A20" s="7" t="n">
        <v>4</v>
      </c>
      <c r="B20" s="8" t="s">
        <v>29</v>
      </c>
      <c r="C20" s="9" t="n">
        <f aca="false">'5. Comunicación y difusión'!F10</f>
        <v>1500</v>
      </c>
      <c r="D20" s="10" t="n">
        <f aca="false">C20/$C$22</f>
        <v>0.15</v>
      </c>
      <c r="E20" s="11" t="s">
        <v>30</v>
      </c>
    </row>
    <row r="21" customFormat="false" ht="15" hidden="false" customHeight="false" outlineLevel="0" collapsed="false">
      <c r="A21" s="7" t="n">
        <v>5</v>
      </c>
      <c r="B21" s="8" t="s">
        <v>31</v>
      </c>
      <c r="C21" s="9" t="n">
        <f aca="false">'6. Monitoreo y evaluación'!F11</f>
        <v>1000</v>
      </c>
      <c r="D21" s="10" t="n">
        <f aca="false">C21/$C$22</f>
        <v>0.1</v>
      </c>
      <c r="E21" s="11" t="s">
        <v>32</v>
      </c>
    </row>
    <row r="22" customFormat="false" ht="15" hidden="false" customHeight="false" outlineLevel="0" collapsed="false">
      <c r="A22" s="12"/>
      <c r="B22" s="13" t="s">
        <v>33</v>
      </c>
      <c r="C22" s="14" t="n">
        <f aca="false">SUM(C17:C21)</f>
        <v>10000</v>
      </c>
      <c r="D22" s="15" t="n">
        <f aca="false">C22/10000</f>
        <v>1</v>
      </c>
      <c r="E22" s="13"/>
    </row>
    <row r="25" customFormat="false" ht="15" hidden="false" customHeight="false" outlineLevel="0" collapsed="false">
      <c r="A25" s="16" t="s">
        <v>34</v>
      </c>
    </row>
    <row r="26" customFormat="false" ht="15" hidden="false" customHeight="false" outlineLevel="0" collapsed="false">
      <c r="A26" s="17" t="s">
        <v>35</v>
      </c>
      <c r="B26" s="17"/>
      <c r="C26" s="17"/>
      <c r="D26" s="17"/>
      <c r="E26" s="17"/>
    </row>
    <row r="27" customFormat="false" ht="15" hidden="false" customHeight="false" outlineLevel="0" collapsed="false">
      <c r="A27" s="17" t="s">
        <v>36</v>
      </c>
      <c r="B27" s="17"/>
      <c r="C27" s="17"/>
      <c r="D27" s="17"/>
      <c r="E27" s="17"/>
    </row>
    <row r="28" customFormat="false" ht="15" hidden="false" customHeight="false" outlineLevel="0" collapsed="false">
      <c r="A28" s="17" t="s">
        <v>37</v>
      </c>
      <c r="B28" s="17"/>
      <c r="C28" s="17"/>
      <c r="D28" s="17"/>
      <c r="E28" s="17"/>
    </row>
    <row r="29" customFormat="false" ht="15" hidden="false" customHeight="false" outlineLevel="0" collapsed="false">
      <c r="A29" s="17" t="s">
        <v>38</v>
      </c>
      <c r="B29" s="17"/>
      <c r="C29" s="17"/>
      <c r="D29" s="17"/>
      <c r="E29" s="17"/>
    </row>
  </sheetData>
  <mergeCells count="13">
    <mergeCell ref="A1:E1"/>
    <mergeCell ref="A2:E2"/>
    <mergeCell ref="B5:E5"/>
    <mergeCell ref="B6:E6"/>
    <mergeCell ref="B7:E7"/>
    <mergeCell ref="B8:E8"/>
    <mergeCell ref="B9:E9"/>
    <mergeCell ref="B10:E10"/>
    <mergeCell ref="B11:E11"/>
    <mergeCell ref="A26:E26"/>
    <mergeCell ref="A27:E27"/>
    <mergeCell ref="A28:E28"/>
    <mergeCell ref="A29:E29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24" hidden="false" customHeight="true" outlineLevel="0" collapsed="false">
      <c r="A1" s="18" t="s">
        <v>39</v>
      </c>
      <c r="B1" s="18"/>
      <c r="C1" s="18"/>
      <c r="D1" s="18"/>
      <c r="E1" s="18"/>
      <c r="F1" s="18"/>
    </row>
    <row r="2" customFormat="false" ht="31.5" hidden="false" customHeight="true" outlineLevel="0" collapsed="false">
      <c r="A2" s="19" t="s">
        <v>40</v>
      </c>
      <c r="B2" s="19"/>
      <c r="C2" s="19"/>
      <c r="D2" s="19"/>
      <c r="E2" s="19"/>
      <c r="F2" s="19"/>
    </row>
    <row r="4" customFormat="false" ht="31.5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</row>
    <row r="5" customFormat="false" ht="28.35" hidden="false" customHeight="false" outlineLevel="0" collapsed="false">
      <c r="A5" s="20" t="s">
        <v>47</v>
      </c>
      <c r="B5" s="21" t="s">
        <v>48</v>
      </c>
      <c r="C5" s="22" t="s">
        <v>49</v>
      </c>
      <c r="D5" s="23" t="n">
        <v>3</v>
      </c>
      <c r="E5" s="24" t="n">
        <v>180</v>
      </c>
      <c r="F5" s="24" t="n">
        <f aca="false">D5*E5</f>
        <v>540</v>
      </c>
    </row>
    <row r="6" customFormat="false" ht="28.35" hidden="false" customHeight="false" outlineLevel="0" collapsed="false">
      <c r="A6" s="20" t="s">
        <v>50</v>
      </c>
      <c r="B6" s="21" t="s">
        <v>51</v>
      </c>
      <c r="C6" s="22" t="s">
        <v>49</v>
      </c>
      <c r="D6" s="23" t="n">
        <v>3</v>
      </c>
      <c r="E6" s="24" t="n">
        <v>280</v>
      </c>
      <c r="F6" s="24" t="n">
        <f aca="false">D6*E6</f>
        <v>840</v>
      </c>
    </row>
    <row r="7" customFormat="false" ht="15" hidden="false" customHeight="false" outlineLevel="0" collapsed="false">
      <c r="A7" s="20" t="s">
        <v>52</v>
      </c>
      <c r="B7" s="21" t="s">
        <v>53</v>
      </c>
      <c r="C7" s="22" t="s">
        <v>54</v>
      </c>
      <c r="D7" s="23" t="n">
        <v>1</v>
      </c>
      <c r="E7" s="24" t="n">
        <v>120</v>
      </c>
      <c r="F7" s="24" t="n">
        <f aca="false">D7*E7</f>
        <v>120</v>
      </c>
    </row>
    <row r="8" customFormat="false" ht="28.35" hidden="false" customHeight="false" outlineLevel="0" collapsed="false">
      <c r="A8" s="20" t="s">
        <v>55</v>
      </c>
      <c r="B8" s="21" t="s">
        <v>56</v>
      </c>
      <c r="C8" s="22" t="s">
        <v>57</v>
      </c>
      <c r="D8" s="23" t="n">
        <v>1</v>
      </c>
      <c r="E8" s="24" t="n">
        <v>80</v>
      </c>
      <c r="F8" s="24" t="n">
        <f aca="false">D8*E8</f>
        <v>80</v>
      </c>
    </row>
    <row r="9" customFormat="false" ht="28.35" hidden="false" customHeight="false" outlineLevel="0" collapsed="false">
      <c r="A9" s="20" t="s">
        <v>58</v>
      </c>
      <c r="B9" s="21" t="s">
        <v>59</v>
      </c>
      <c r="C9" s="22" t="s">
        <v>49</v>
      </c>
      <c r="D9" s="23" t="n">
        <v>3</v>
      </c>
      <c r="E9" s="24" t="n">
        <v>200</v>
      </c>
      <c r="F9" s="24" t="n">
        <f aca="false">D9*E9</f>
        <v>600</v>
      </c>
    </row>
    <row r="10" customFormat="false" ht="28.35" hidden="false" customHeight="false" outlineLevel="0" collapsed="false">
      <c r="A10" s="20" t="s">
        <v>60</v>
      </c>
      <c r="B10" s="21" t="s">
        <v>61</v>
      </c>
      <c r="C10" s="22" t="s">
        <v>49</v>
      </c>
      <c r="D10" s="23" t="n">
        <v>3</v>
      </c>
      <c r="E10" s="24" t="n">
        <v>180</v>
      </c>
      <c r="F10" s="24" t="n">
        <f aca="false">D10*E10</f>
        <v>540</v>
      </c>
    </row>
    <row r="11" customFormat="false" ht="28.35" hidden="false" customHeight="false" outlineLevel="0" collapsed="false">
      <c r="A11" s="20" t="s">
        <v>62</v>
      </c>
      <c r="B11" s="21" t="s">
        <v>63</v>
      </c>
      <c r="C11" s="22" t="s">
        <v>49</v>
      </c>
      <c r="D11" s="23" t="n">
        <v>3</v>
      </c>
      <c r="E11" s="24" t="n">
        <v>80</v>
      </c>
      <c r="F11" s="24" t="n">
        <f aca="false">D11*E11</f>
        <v>240</v>
      </c>
    </row>
    <row r="12" customFormat="false" ht="28.35" hidden="false" customHeight="false" outlineLevel="0" collapsed="false">
      <c r="A12" s="20" t="s">
        <v>64</v>
      </c>
      <c r="B12" s="21" t="s">
        <v>65</v>
      </c>
      <c r="C12" s="22" t="s">
        <v>57</v>
      </c>
      <c r="D12" s="23" t="n">
        <v>1</v>
      </c>
      <c r="E12" s="24" t="n">
        <v>100</v>
      </c>
      <c r="F12" s="24" t="n">
        <f aca="false">D12*E12</f>
        <v>100</v>
      </c>
    </row>
    <row r="13" customFormat="false" ht="28.35" hidden="false" customHeight="false" outlineLevel="0" collapsed="false">
      <c r="A13" s="20" t="s">
        <v>66</v>
      </c>
      <c r="B13" s="21" t="s">
        <v>67</v>
      </c>
      <c r="C13" s="22" t="s">
        <v>57</v>
      </c>
      <c r="D13" s="23" t="n">
        <v>1</v>
      </c>
      <c r="E13" s="24" t="n">
        <v>440</v>
      </c>
      <c r="F13" s="24" t="n">
        <f aca="false">D13*E13</f>
        <v>440</v>
      </c>
    </row>
    <row r="14" customFormat="false" ht="15" hidden="false" customHeight="false" outlineLevel="0" collapsed="false">
      <c r="A14" s="13"/>
      <c r="B14" s="13"/>
      <c r="C14" s="13"/>
      <c r="D14" s="13"/>
      <c r="E14" s="25" t="s">
        <v>68</v>
      </c>
      <c r="F14" s="14" t="n">
        <f aca="false">SUM(F5:F13)</f>
        <v>3500</v>
      </c>
    </row>
    <row r="17" customFormat="false" ht="15" hidden="false" customHeight="false" outlineLevel="0" collapsed="false">
      <c r="A17" s="26" t="s">
        <v>69</v>
      </c>
      <c r="B17" s="26"/>
      <c r="C17" s="26"/>
      <c r="D17" s="26"/>
      <c r="E17" s="26"/>
      <c r="F17" s="26"/>
    </row>
    <row r="18" customFormat="false" ht="30" hidden="false" customHeight="true" outlineLevel="0" collapsed="false">
      <c r="A18" s="27" t="s">
        <v>70</v>
      </c>
      <c r="B18" s="28" t="s">
        <v>71</v>
      </c>
      <c r="C18" s="28"/>
      <c r="D18" s="28"/>
      <c r="E18" s="28"/>
      <c r="F18" s="28"/>
    </row>
    <row r="19" customFormat="false" ht="30" hidden="false" customHeight="true" outlineLevel="0" collapsed="false">
      <c r="A19" s="27" t="s">
        <v>72</v>
      </c>
      <c r="B19" s="28" t="s">
        <v>73</v>
      </c>
      <c r="C19" s="28"/>
      <c r="D19" s="28"/>
      <c r="E19" s="28"/>
      <c r="F19" s="28"/>
    </row>
    <row r="20" customFormat="false" ht="30" hidden="false" customHeight="true" outlineLevel="0" collapsed="false">
      <c r="A20" s="27" t="s">
        <v>74</v>
      </c>
      <c r="B20" s="28" t="s">
        <v>75</v>
      </c>
      <c r="C20" s="28"/>
      <c r="D20" s="28"/>
      <c r="E20" s="28"/>
      <c r="F20" s="28"/>
    </row>
    <row r="21" customFormat="false" ht="30" hidden="false" customHeight="true" outlineLevel="0" collapsed="false">
      <c r="A21" s="27" t="s">
        <v>76</v>
      </c>
      <c r="B21" s="28" t="s">
        <v>77</v>
      </c>
      <c r="C21" s="28"/>
      <c r="D21" s="28"/>
      <c r="E21" s="28"/>
      <c r="F21" s="28"/>
    </row>
    <row r="22" customFormat="false" ht="30" hidden="false" customHeight="true" outlineLevel="0" collapsed="false">
      <c r="A22" s="27" t="s">
        <v>78</v>
      </c>
      <c r="B22" s="28" t="s">
        <v>79</v>
      </c>
      <c r="C22" s="28"/>
      <c r="D22" s="28"/>
      <c r="E22" s="28"/>
      <c r="F22" s="28"/>
    </row>
    <row r="23" customFormat="false" ht="30" hidden="false" customHeight="true" outlineLevel="0" collapsed="false">
      <c r="A23" s="27" t="s">
        <v>80</v>
      </c>
      <c r="B23" s="28" t="s">
        <v>81</v>
      </c>
      <c r="C23" s="28"/>
      <c r="D23" s="28"/>
      <c r="E23" s="28"/>
      <c r="F23" s="28"/>
    </row>
    <row r="24" customFormat="false" ht="30" hidden="false" customHeight="true" outlineLevel="0" collapsed="false">
      <c r="A24" s="27" t="s">
        <v>82</v>
      </c>
      <c r="B24" s="28" t="s">
        <v>83</v>
      </c>
      <c r="C24" s="28"/>
      <c r="D24" s="28"/>
      <c r="E24" s="28"/>
      <c r="F24" s="28"/>
    </row>
    <row r="25" customFormat="false" ht="30" hidden="false" customHeight="true" outlineLevel="0" collapsed="false">
      <c r="A25" s="27" t="s">
        <v>84</v>
      </c>
      <c r="B25" s="28" t="s">
        <v>85</v>
      </c>
      <c r="C25" s="28"/>
      <c r="D25" s="28"/>
      <c r="E25" s="28"/>
      <c r="F25" s="28"/>
    </row>
    <row r="26" customFormat="false" ht="30" hidden="false" customHeight="true" outlineLevel="0" collapsed="false">
      <c r="A26" s="27" t="s">
        <v>86</v>
      </c>
      <c r="B26" s="28" t="s">
        <v>87</v>
      </c>
      <c r="C26" s="28"/>
      <c r="D26" s="28"/>
      <c r="E26" s="28"/>
      <c r="F26" s="28"/>
    </row>
  </sheetData>
  <mergeCells count="12">
    <mergeCell ref="A1:F1"/>
    <mergeCell ref="A2:F2"/>
    <mergeCell ref="A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24" hidden="false" customHeight="true" outlineLevel="0" collapsed="false">
      <c r="A1" s="18" t="s">
        <v>88</v>
      </c>
      <c r="B1" s="18"/>
      <c r="C1" s="18"/>
      <c r="D1" s="18"/>
      <c r="E1" s="18"/>
      <c r="F1" s="18"/>
    </row>
    <row r="2" customFormat="false" ht="31.5" hidden="false" customHeight="true" outlineLevel="0" collapsed="false">
      <c r="A2" s="19" t="s">
        <v>89</v>
      </c>
      <c r="B2" s="19"/>
      <c r="C2" s="19"/>
      <c r="D2" s="19"/>
      <c r="E2" s="19"/>
      <c r="F2" s="19"/>
    </row>
    <row r="4" customFormat="false" ht="31.5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</row>
    <row r="5" customFormat="false" ht="28.35" hidden="false" customHeight="false" outlineLevel="0" collapsed="false">
      <c r="A5" s="20" t="s">
        <v>90</v>
      </c>
      <c r="B5" s="21" t="s">
        <v>91</v>
      </c>
      <c r="C5" s="22" t="s">
        <v>57</v>
      </c>
      <c r="D5" s="23" t="n">
        <v>100</v>
      </c>
      <c r="E5" s="24" t="n">
        <v>3.5</v>
      </c>
      <c r="F5" s="24" t="n">
        <f aca="false">D5*E5</f>
        <v>350</v>
      </c>
    </row>
    <row r="6" customFormat="false" ht="28.35" hidden="false" customHeight="false" outlineLevel="0" collapsed="false">
      <c r="A6" s="20" t="s">
        <v>92</v>
      </c>
      <c r="B6" s="21" t="s">
        <v>93</v>
      </c>
      <c r="C6" s="22" t="s">
        <v>57</v>
      </c>
      <c r="D6" s="23" t="n">
        <v>200</v>
      </c>
      <c r="E6" s="24" t="n">
        <v>1.2</v>
      </c>
      <c r="F6" s="24" t="n">
        <f aca="false">D6*E6</f>
        <v>240</v>
      </c>
    </row>
    <row r="7" customFormat="false" ht="28.35" hidden="false" customHeight="false" outlineLevel="0" collapsed="false">
      <c r="A7" s="20" t="s">
        <v>94</v>
      </c>
      <c r="B7" s="21" t="s">
        <v>95</v>
      </c>
      <c r="C7" s="22" t="s">
        <v>57</v>
      </c>
      <c r="D7" s="23" t="n">
        <v>500</v>
      </c>
      <c r="E7" s="24" t="n">
        <v>0.3</v>
      </c>
      <c r="F7" s="24" t="n">
        <f aca="false">D7*E7</f>
        <v>150</v>
      </c>
    </row>
    <row r="8" customFormat="false" ht="15" hidden="false" customHeight="false" outlineLevel="0" collapsed="false">
      <c r="A8" s="20" t="s">
        <v>96</v>
      </c>
      <c r="B8" s="21" t="s">
        <v>97</v>
      </c>
      <c r="C8" s="22" t="s">
        <v>57</v>
      </c>
      <c r="D8" s="23" t="n">
        <v>2</v>
      </c>
      <c r="E8" s="24" t="n">
        <v>120</v>
      </c>
      <c r="F8" s="24" t="n">
        <f aca="false">D8*E8</f>
        <v>240</v>
      </c>
    </row>
    <row r="9" customFormat="false" ht="28.35" hidden="false" customHeight="false" outlineLevel="0" collapsed="false">
      <c r="A9" s="20" t="s">
        <v>98</v>
      </c>
      <c r="B9" s="21" t="s">
        <v>99</v>
      </c>
      <c r="C9" s="22" t="s">
        <v>100</v>
      </c>
      <c r="D9" s="23" t="n">
        <v>90</v>
      </c>
      <c r="E9" s="24" t="n">
        <v>5</v>
      </c>
      <c r="F9" s="24" t="n">
        <f aca="false">D9*E9</f>
        <v>450</v>
      </c>
    </row>
    <row r="10" customFormat="false" ht="28.35" hidden="false" customHeight="false" outlineLevel="0" collapsed="false">
      <c r="A10" s="20" t="s">
        <v>101</v>
      </c>
      <c r="B10" s="21" t="s">
        <v>102</v>
      </c>
      <c r="C10" s="22" t="s">
        <v>103</v>
      </c>
      <c r="D10" s="23" t="n">
        <v>30</v>
      </c>
      <c r="E10" s="24" t="n">
        <v>10</v>
      </c>
      <c r="F10" s="24" t="n">
        <f aca="false">D10*E10</f>
        <v>300</v>
      </c>
    </row>
    <row r="11" customFormat="false" ht="28.35" hidden="false" customHeight="false" outlineLevel="0" collapsed="false">
      <c r="A11" s="20" t="s">
        <v>104</v>
      </c>
      <c r="B11" s="21" t="s">
        <v>105</v>
      </c>
      <c r="C11" s="22" t="s">
        <v>57</v>
      </c>
      <c r="D11" s="23" t="n">
        <v>1</v>
      </c>
      <c r="E11" s="24" t="n">
        <v>70</v>
      </c>
      <c r="F11" s="24" t="n">
        <f aca="false">D11*E11</f>
        <v>70</v>
      </c>
    </row>
    <row r="12" customFormat="false" ht="15" hidden="false" customHeight="false" outlineLevel="0" collapsed="false">
      <c r="A12" s="13"/>
      <c r="B12" s="13"/>
      <c r="C12" s="13"/>
      <c r="D12" s="13"/>
      <c r="E12" s="25" t="s">
        <v>68</v>
      </c>
      <c r="F12" s="14" t="n">
        <f aca="false">SUM(F5:F11)</f>
        <v>1800</v>
      </c>
    </row>
    <row r="15" customFormat="false" ht="15" hidden="false" customHeight="false" outlineLevel="0" collapsed="false">
      <c r="A15" s="26" t="s">
        <v>69</v>
      </c>
      <c r="B15" s="26"/>
      <c r="C15" s="26"/>
      <c r="D15" s="26"/>
      <c r="E15" s="26"/>
      <c r="F15" s="26"/>
    </row>
    <row r="16" customFormat="false" ht="30" hidden="false" customHeight="true" outlineLevel="0" collapsed="false">
      <c r="A16" s="27" t="s">
        <v>106</v>
      </c>
      <c r="B16" s="28" t="s">
        <v>107</v>
      </c>
      <c r="C16" s="28"/>
      <c r="D16" s="28"/>
      <c r="E16" s="28"/>
      <c r="F16" s="28"/>
    </row>
    <row r="17" customFormat="false" ht="30" hidden="false" customHeight="true" outlineLevel="0" collapsed="false">
      <c r="A17" s="27" t="s">
        <v>108</v>
      </c>
      <c r="B17" s="28" t="s">
        <v>109</v>
      </c>
      <c r="C17" s="28"/>
      <c r="D17" s="28"/>
      <c r="E17" s="28"/>
      <c r="F17" s="28"/>
    </row>
    <row r="18" customFormat="false" ht="30" hidden="false" customHeight="true" outlineLevel="0" collapsed="false">
      <c r="A18" s="27" t="s">
        <v>110</v>
      </c>
      <c r="B18" s="28" t="s">
        <v>111</v>
      </c>
      <c r="C18" s="28"/>
      <c r="D18" s="28"/>
      <c r="E18" s="28"/>
      <c r="F18" s="28"/>
    </row>
    <row r="19" customFormat="false" ht="30" hidden="false" customHeight="true" outlineLevel="0" collapsed="false">
      <c r="A19" s="27" t="s">
        <v>112</v>
      </c>
      <c r="B19" s="28" t="s">
        <v>113</v>
      </c>
      <c r="C19" s="28"/>
      <c r="D19" s="28"/>
      <c r="E19" s="28"/>
      <c r="F19" s="28"/>
    </row>
    <row r="20" customFormat="false" ht="30" hidden="false" customHeight="true" outlineLevel="0" collapsed="false">
      <c r="A20" s="27" t="s">
        <v>114</v>
      </c>
      <c r="B20" s="28" t="s">
        <v>115</v>
      </c>
      <c r="C20" s="28"/>
      <c r="D20" s="28"/>
      <c r="E20" s="28"/>
      <c r="F20" s="28"/>
    </row>
    <row r="21" customFormat="false" ht="30" hidden="false" customHeight="true" outlineLevel="0" collapsed="false">
      <c r="A21" s="27" t="s">
        <v>116</v>
      </c>
      <c r="B21" s="28" t="s">
        <v>117</v>
      </c>
      <c r="C21" s="28"/>
      <c r="D21" s="28"/>
      <c r="E21" s="28"/>
      <c r="F21" s="28"/>
    </row>
    <row r="22" customFormat="false" ht="30" hidden="false" customHeight="true" outlineLevel="0" collapsed="false">
      <c r="A22" s="27" t="s">
        <v>118</v>
      </c>
      <c r="B22" s="28" t="s">
        <v>119</v>
      </c>
      <c r="C22" s="28"/>
      <c r="D22" s="28"/>
      <c r="E22" s="28"/>
      <c r="F22" s="28"/>
    </row>
  </sheetData>
  <mergeCells count="10">
    <mergeCell ref="A1:F1"/>
    <mergeCell ref="A2:F2"/>
    <mergeCell ref="A15:F15"/>
    <mergeCell ref="B16:F16"/>
    <mergeCell ref="B17:F17"/>
    <mergeCell ref="B18:F18"/>
    <mergeCell ref="B19:F19"/>
    <mergeCell ref="B20:F20"/>
    <mergeCell ref="B21:F21"/>
    <mergeCell ref="B22:F22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24" hidden="false" customHeight="true" outlineLevel="0" collapsed="false">
      <c r="A1" s="18" t="s">
        <v>120</v>
      </c>
      <c r="B1" s="18"/>
      <c r="C1" s="18"/>
      <c r="D1" s="18"/>
      <c r="E1" s="18"/>
      <c r="F1" s="18"/>
    </row>
    <row r="2" customFormat="false" ht="31.5" hidden="false" customHeight="true" outlineLevel="0" collapsed="false">
      <c r="A2" s="19" t="s">
        <v>121</v>
      </c>
      <c r="B2" s="19"/>
      <c r="C2" s="19"/>
      <c r="D2" s="19"/>
      <c r="E2" s="19"/>
      <c r="F2" s="19"/>
    </row>
    <row r="4" customFormat="false" ht="31.5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</row>
    <row r="5" customFormat="false" ht="28.35" hidden="false" customHeight="false" outlineLevel="0" collapsed="false">
      <c r="A5" s="20" t="s">
        <v>122</v>
      </c>
      <c r="B5" s="21" t="s">
        <v>123</v>
      </c>
      <c r="C5" s="22" t="s">
        <v>124</v>
      </c>
      <c r="D5" s="23" t="n">
        <v>3</v>
      </c>
      <c r="E5" s="24" t="n">
        <v>150</v>
      </c>
      <c r="F5" s="24" t="n">
        <f aca="false">D5*E5</f>
        <v>450</v>
      </c>
    </row>
    <row r="6" customFormat="false" ht="28.35" hidden="false" customHeight="false" outlineLevel="0" collapsed="false">
      <c r="A6" s="20" t="s">
        <v>125</v>
      </c>
      <c r="B6" s="21" t="s">
        <v>126</v>
      </c>
      <c r="C6" s="22" t="s">
        <v>127</v>
      </c>
      <c r="D6" s="23" t="n">
        <v>3</v>
      </c>
      <c r="E6" s="24" t="n">
        <v>200</v>
      </c>
      <c r="F6" s="24" t="n">
        <f aca="false">D6*E6</f>
        <v>600</v>
      </c>
    </row>
    <row r="7" customFormat="false" ht="28.35" hidden="false" customHeight="false" outlineLevel="0" collapsed="false">
      <c r="A7" s="20" t="s">
        <v>128</v>
      </c>
      <c r="B7" s="21" t="s">
        <v>129</v>
      </c>
      <c r="C7" s="22" t="s">
        <v>130</v>
      </c>
      <c r="D7" s="23" t="n">
        <v>90</v>
      </c>
      <c r="E7" s="24" t="n">
        <v>3</v>
      </c>
      <c r="F7" s="24" t="n">
        <f aca="false">D7*E7</f>
        <v>270</v>
      </c>
    </row>
    <row r="8" customFormat="false" ht="41.75" hidden="false" customHeight="false" outlineLevel="0" collapsed="false">
      <c r="A8" s="20" t="s">
        <v>131</v>
      </c>
      <c r="B8" s="21" t="s">
        <v>132</v>
      </c>
      <c r="C8" s="22" t="s">
        <v>133</v>
      </c>
      <c r="D8" s="23" t="n">
        <v>12</v>
      </c>
      <c r="E8" s="24" t="n">
        <v>20</v>
      </c>
      <c r="F8" s="24" t="n">
        <f aca="false">D8*E8</f>
        <v>240</v>
      </c>
    </row>
    <row r="9" customFormat="false" ht="41.75" hidden="false" customHeight="false" outlineLevel="0" collapsed="false">
      <c r="A9" s="20" t="s">
        <v>134</v>
      </c>
      <c r="B9" s="21" t="s">
        <v>135</v>
      </c>
      <c r="C9" s="22" t="s">
        <v>136</v>
      </c>
      <c r="D9" s="23" t="n">
        <v>1</v>
      </c>
      <c r="E9" s="24" t="n">
        <v>240</v>
      </c>
      <c r="F9" s="24" t="n">
        <f aca="false">D9*E9</f>
        <v>240</v>
      </c>
    </row>
    <row r="10" customFormat="false" ht="28.35" hidden="false" customHeight="false" outlineLevel="0" collapsed="false">
      <c r="A10" s="20" t="s">
        <v>137</v>
      </c>
      <c r="B10" s="21" t="s">
        <v>138</v>
      </c>
      <c r="C10" s="22" t="s">
        <v>139</v>
      </c>
      <c r="D10" s="23" t="n">
        <v>1</v>
      </c>
      <c r="E10" s="24" t="n">
        <v>400</v>
      </c>
      <c r="F10" s="24" t="n">
        <f aca="false">D10*E10</f>
        <v>400</v>
      </c>
    </row>
    <row r="11" customFormat="false" ht="15" hidden="false" customHeight="false" outlineLevel="0" collapsed="false">
      <c r="A11" s="13"/>
      <c r="B11" s="13"/>
      <c r="C11" s="13"/>
      <c r="D11" s="13"/>
      <c r="E11" s="25" t="s">
        <v>68</v>
      </c>
      <c r="F11" s="14" t="n">
        <f aca="false">SUM(F5:F10)</f>
        <v>2200</v>
      </c>
    </row>
    <row r="14" customFormat="false" ht="15" hidden="false" customHeight="false" outlineLevel="0" collapsed="false">
      <c r="A14" s="26" t="s">
        <v>69</v>
      </c>
      <c r="B14" s="26"/>
      <c r="C14" s="26"/>
      <c r="D14" s="26"/>
      <c r="E14" s="26"/>
      <c r="F14" s="26"/>
    </row>
    <row r="15" customFormat="false" ht="30" hidden="false" customHeight="true" outlineLevel="0" collapsed="false">
      <c r="A15" s="27" t="s">
        <v>140</v>
      </c>
      <c r="B15" s="28" t="s">
        <v>141</v>
      </c>
      <c r="C15" s="28"/>
      <c r="D15" s="28"/>
      <c r="E15" s="28"/>
      <c r="F15" s="28"/>
    </row>
    <row r="16" customFormat="false" ht="30" hidden="false" customHeight="true" outlineLevel="0" collapsed="false">
      <c r="A16" s="27" t="s">
        <v>142</v>
      </c>
      <c r="B16" s="28" t="s">
        <v>143</v>
      </c>
      <c r="C16" s="28"/>
      <c r="D16" s="28"/>
      <c r="E16" s="28"/>
      <c r="F16" s="28"/>
    </row>
    <row r="17" customFormat="false" ht="30" hidden="false" customHeight="true" outlineLevel="0" collapsed="false">
      <c r="A17" s="27" t="s">
        <v>144</v>
      </c>
      <c r="B17" s="28" t="s">
        <v>145</v>
      </c>
      <c r="C17" s="28"/>
      <c r="D17" s="28"/>
      <c r="E17" s="28"/>
      <c r="F17" s="28"/>
    </row>
    <row r="18" customFormat="false" ht="30" hidden="false" customHeight="true" outlineLevel="0" collapsed="false">
      <c r="A18" s="27" t="s">
        <v>146</v>
      </c>
      <c r="B18" s="28" t="s">
        <v>147</v>
      </c>
      <c r="C18" s="28"/>
      <c r="D18" s="28"/>
      <c r="E18" s="28"/>
      <c r="F18" s="28"/>
    </row>
    <row r="19" customFormat="false" ht="30" hidden="false" customHeight="true" outlineLevel="0" collapsed="false">
      <c r="A19" s="27" t="s">
        <v>148</v>
      </c>
      <c r="B19" s="28" t="s">
        <v>149</v>
      </c>
      <c r="C19" s="28"/>
      <c r="D19" s="28"/>
      <c r="E19" s="28"/>
      <c r="F19" s="28"/>
    </row>
    <row r="20" customFormat="false" ht="30" hidden="false" customHeight="true" outlineLevel="0" collapsed="false">
      <c r="A20" s="27" t="s">
        <v>150</v>
      </c>
      <c r="B20" s="28" t="s">
        <v>151</v>
      </c>
      <c r="C20" s="28"/>
      <c r="D20" s="28"/>
      <c r="E20" s="28"/>
      <c r="F20" s="28"/>
    </row>
  </sheetData>
  <mergeCells count="9">
    <mergeCell ref="A1:F1"/>
    <mergeCell ref="A2:F2"/>
    <mergeCell ref="A14:F14"/>
    <mergeCell ref="B15:F15"/>
    <mergeCell ref="B16:F16"/>
    <mergeCell ref="B17:F17"/>
    <mergeCell ref="B18:F18"/>
    <mergeCell ref="B19:F19"/>
    <mergeCell ref="B20:F20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24" hidden="false" customHeight="true" outlineLevel="0" collapsed="false">
      <c r="A1" s="18" t="s">
        <v>152</v>
      </c>
      <c r="B1" s="18"/>
      <c r="C1" s="18"/>
      <c r="D1" s="18"/>
      <c r="E1" s="18"/>
      <c r="F1" s="18"/>
    </row>
    <row r="2" customFormat="false" ht="31.5" hidden="false" customHeight="true" outlineLevel="0" collapsed="false">
      <c r="A2" s="19" t="s">
        <v>153</v>
      </c>
      <c r="B2" s="19"/>
      <c r="C2" s="19"/>
      <c r="D2" s="19"/>
      <c r="E2" s="19"/>
      <c r="F2" s="19"/>
    </row>
    <row r="4" customFormat="false" ht="31.5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</row>
    <row r="5" customFormat="false" ht="28.35" hidden="false" customHeight="false" outlineLevel="0" collapsed="false">
      <c r="A5" s="20" t="s">
        <v>154</v>
      </c>
      <c r="B5" s="21" t="s">
        <v>155</v>
      </c>
      <c r="C5" s="22" t="s">
        <v>139</v>
      </c>
      <c r="D5" s="23" t="n">
        <v>1</v>
      </c>
      <c r="E5" s="24" t="n">
        <v>350</v>
      </c>
      <c r="F5" s="24" t="n">
        <f aca="false">D5*E5</f>
        <v>350</v>
      </c>
    </row>
    <row r="6" customFormat="false" ht="28.35" hidden="false" customHeight="false" outlineLevel="0" collapsed="false">
      <c r="A6" s="20" t="s">
        <v>156</v>
      </c>
      <c r="B6" s="21" t="s">
        <v>157</v>
      </c>
      <c r="C6" s="22" t="s">
        <v>57</v>
      </c>
      <c r="D6" s="23" t="n">
        <v>1</v>
      </c>
      <c r="E6" s="24" t="n">
        <v>350</v>
      </c>
      <c r="F6" s="24" t="n">
        <f aca="false">D6*E6</f>
        <v>350</v>
      </c>
    </row>
    <row r="7" customFormat="false" ht="28.35" hidden="false" customHeight="false" outlineLevel="0" collapsed="false">
      <c r="A7" s="20" t="s">
        <v>158</v>
      </c>
      <c r="B7" s="21" t="s">
        <v>159</v>
      </c>
      <c r="C7" s="22" t="s">
        <v>49</v>
      </c>
      <c r="D7" s="23" t="n">
        <v>2</v>
      </c>
      <c r="E7" s="24" t="n">
        <v>250</v>
      </c>
      <c r="F7" s="24" t="n">
        <f aca="false">D7*E7</f>
        <v>500</v>
      </c>
    </row>
    <row r="8" customFormat="false" ht="28.35" hidden="false" customHeight="false" outlineLevel="0" collapsed="false">
      <c r="A8" s="20" t="s">
        <v>160</v>
      </c>
      <c r="B8" s="21" t="s">
        <v>161</v>
      </c>
      <c r="C8" s="22" t="s">
        <v>162</v>
      </c>
      <c r="D8" s="23" t="n">
        <v>20</v>
      </c>
      <c r="E8" s="24" t="n">
        <v>10</v>
      </c>
      <c r="F8" s="24" t="n">
        <f aca="false">D8*E8</f>
        <v>200</v>
      </c>
    </row>
    <row r="9" customFormat="false" ht="28.35" hidden="false" customHeight="false" outlineLevel="0" collapsed="false">
      <c r="A9" s="20" t="s">
        <v>163</v>
      </c>
      <c r="B9" s="21" t="s">
        <v>164</v>
      </c>
      <c r="C9" s="22" t="s">
        <v>139</v>
      </c>
      <c r="D9" s="23" t="n">
        <v>1</v>
      </c>
      <c r="E9" s="24" t="n">
        <v>100</v>
      </c>
      <c r="F9" s="24" t="n">
        <f aca="false">D9*E9</f>
        <v>100</v>
      </c>
    </row>
    <row r="10" customFormat="false" ht="15" hidden="false" customHeight="false" outlineLevel="0" collapsed="false">
      <c r="A10" s="13"/>
      <c r="B10" s="13"/>
      <c r="C10" s="13"/>
      <c r="D10" s="13"/>
      <c r="E10" s="25" t="s">
        <v>68</v>
      </c>
      <c r="F10" s="14" t="n">
        <f aca="false">SUM(F5:F9)</f>
        <v>1500</v>
      </c>
    </row>
    <row r="13" customFormat="false" ht="15" hidden="false" customHeight="false" outlineLevel="0" collapsed="false">
      <c r="A13" s="26" t="s">
        <v>69</v>
      </c>
      <c r="B13" s="26"/>
      <c r="C13" s="26"/>
      <c r="D13" s="26"/>
      <c r="E13" s="26"/>
      <c r="F13" s="26"/>
    </row>
    <row r="14" customFormat="false" ht="30" hidden="false" customHeight="true" outlineLevel="0" collapsed="false">
      <c r="A14" s="27" t="s">
        <v>165</v>
      </c>
      <c r="B14" s="28" t="s">
        <v>166</v>
      </c>
      <c r="C14" s="28"/>
      <c r="D14" s="28"/>
      <c r="E14" s="28"/>
      <c r="F14" s="28"/>
    </row>
    <row r="15" customFormat="false" ht="30" hidden="false" customHeight="true" outlineLevel="0" collapsed="false">
      <c r="A15" s="27" t="s">
        <v>167</v>
      </c>
      <c r="B15" s="28" t="s">
        <v>168</v>
      </c>
      <c r="C15" s="28"/>
      <c r="D15" s="28"/>
      <c r="E15" s="28"/>
      <c r="F15" s="28"/>
    </row>
    <row r="16" customFormat="false" ht="30" hidden="false" customHeight="true" outlineLevel="0" collapsed="false">
      <c r="A16" s="27" t="s">
        <v>169</v>
      </c>
      <c r="B16" s="28" t="s">
        <v>170</v>
      </c>
      <c r="C16" s="28"/>
      <c r="D16" s="28"/>
      <c r="E16" s="28"/>
      <c r="F16" s="28"/>
    </row>
    <row r="17" customFormat="false" ht="30" hidden="false" customHeight="true" outlineLevel="0" collapsed="false">
      <c r="A17" s="27" t="s">
        <v>171</v>
      </c>
      <c r="B17" s="28" t="s">
        <v>172</v>
      </c>
      <c r="C17" s="28"/>
      <c r="D17" s="28"/>
      <c r="E17" s="28"/>
      <c r="F17" s="28"/>
    </row>
    <row r="18" customFormat="false" ht="30" hidden="false" customHeight="true" outlineLevel="0" collapsed="false">
      <c r="A18" s="27" t="s">
        <v>173</v>
      </c>
      <c r="B18" s="28" t="s">
        <v>174</v>
      </c>
      <c r="C18" s="28"/>
      <c r="D18" s="28"/>
      <c r="E18" s="28"/>
      <c r="F18" s="28"/>
    </row>
  </sheetData>
  <mergeCells count="8">
    <mergeCell ref="A1:F1"/>
    <mergeCell ref="A2:F2"/>
    <mergeCell ref="A13:F13"/>
    <mergeCell ref="B14:F14"/>
    <mergeCell ref="B15:F15"/>
    <mergeCell ref="B16:F16"/>
    <mergeCell ref="B17:F17"/>
    <mergeCell ref="B18:F18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24" hidden="false" customHeight="true" outlineLevel="0" collapsed="false">
      <c r="A1" s="18" t="s">
        <v>175</v>
      </c>
      <c r="B1" s="18"/>
      <c r="C1" s="18"/>
      <c r="D1" s="18"/>
      <c r="E1" s="18"/>
      <c r="F1" s="18"/>
    </row>
    <row r="2" customFormat="false" ht="31.5" hidden="false" customHeight="true" outlineLevel="0" collapsed="false">
      <c r="A2" s="19" t="s">
        <v>176</v>
      </c>
      <c r="B2" s="19"/>
      <c r="C2" s="19"/>
      <c r="D2" s="19"/>
      <c r="E2" s="19"/>
      <c r="F2" s="19"/>
    </row>
    <row r="4" customFormat="false" ht="31.5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</row>
    <row r="5" customFormat="false" ht="28.35" hidden="false" customHeight="false" outlineLevel="0" collapsed="false">
      <c r="A5" s="20" t="s">
        <v>177</v>
      </c>
      <c r="B5" s="21" t="s">
        <v>178</v>
      </c>
      <c r="C5" s="22" t="s">
        <v>139</v>
      </c>
      <c r="D5" s="23" t="n">
        <v>1</v>
      </c>
      <c r="E5" s="24" t="n">
        <v>250</v>
      </c>
      <c r="F5" s="24" t="n">
        <f aca="false">D5*E5</f>
        <v>250</v>
      </c>
    </row>
    <row r="6" customFormat="false" ht="28.35" hidden="false" customHeight="false" outlineLevel="0" collapsed="false">
      <c r="A6" s="20" t="s">
        <v>179</v>
      </c>
      <c r="B6" s="21" t="s">
        <v>180</v>
      </c>
      <c r="C6" s="22" t="s">
        <v>181</v>
      </c>
      <c r="D6" s="23" t="n">
        <v>150</v>
      </c>
      <c r="E6" s="24" t="n">
        <v>2</v>
      </c>
      <c r="F6" s="24" t="n">
        <f aca="false">D6*E6</f>
        <v>300</v>
      </c>
    </row>
    <row r="7" customFormat="false" ht="28.35" hidden="false" customHeight="false" outlineLevel="0" collapsed="false">
      <c r="A7" s="20" t="s">
        <v>182</v>
      </c>
      <c r="B7" s="21" t="s">
        <v>183</v>
      </c>
      <c r="C7" s="22" t="s">
        <v>139</v>
      </c>
      <c r="D7" s="23" t="n">
        <v>1</v>
      </c>
      <c r="E7" s="24" t="n">
        <v>150</v>
      </c>
      <c r="F7" s="24" t="n">
        <f aca="false">D7*E7</f>
        <v>150</v>
      </c>
    </row>
    <row r="8" customFormat="false" ht="15" hidden="false" customHeight="false" outlineLevel="0" collapsed="false">
      <c r="A8" s="20" t="s">
        <v>184</v>
      </c>
      <c r="B8" s="21" t="s">
        <v>185</v>
      </c>
      <c r="C8" s="22" t="s">
        <v>186</v>
      </c>
      <c r="D8" s="23" t="n">
        <v>1</v>
      </c>
      <c r="E8" s="24" t="n">
        <v>100</v>
      </c>
      <c r="F8" s="24" t="n">
        <f aca="false">D8*E8</f>
        <v>100</v>
      </c>
    </row>
    <row r="9" customFormat="false" ht="28.35" hidden="false" customHeight="false" outlineLevel="0" collapsed="false">
      <c r="A9" s="20" t="s">
        <v>187</v>
      </c>
      <c r="B9" s="21" t="s">
        <v>188</v>
      </c>
      <c r="C9" s="22" t="s">
        <v>186</v>
      </c>
      <c r="D9" s="23" t="n">
        <v>1</v>
      </c>
      <c r="E9" s="24" t="n">
        <v>150</v>
      </c>
      <c r="F9" s="24" t="n">
        <f aca="false">D9*E9</f>
        <v>150</v>
      </c>
    </row>
    <row r="10" customFormat="false" ht="28.35" hidden="false" customHeight="false" outlineLevel="0" collapsed="false">
      <c r="A10" s="20" t="s">
        <v>189</v>
      </c>
      <c r="B10" s="21" t="s">
        <v>190</v>
      </c>
      <c r="C10" s="22" t="s">
        <v>191</v>
      </c>
      <c r="D10" s="23" t="n">
        <v>1</v>
      </c>
      <c r="E10" s="24" t="n">
        <v>50</v>
      </c>
      <c r="F10" s="24" t="n">
        <f aca="false">D10*E10</f>
        <v>50</v>
      </c>
    </row>
    <row r="11" customFormat="false" ht="15" hidden="false" customHeight="false" outlineLevel="0" collapsed="false">
      <c r="A11" s="13"/>
      <c r="B11" s="13"/>
      <c r="C11" s="13"/>
      <c r="D11" s="13"/>
      <c r="E11" s="25" t="s">
        <v>68</v>
      </c>
      <c r="F11" s="14" t="n">
        <f aca="false">SUM(F5:F10)</f>
        <v>1000</v>
      </c>
    </row>
    <row r="14" customFormat="false" ht="15" hidden="false" customHeight="false" outlineLevel="0" collapsed="false">
      <c r="A14" s="26" t="s">
        <v>69</v>
      </c>
      <c r="B14" s="26"/>
      <c r="C14" s="26"/>
      <c r="D14" s="26"/>
      <c r="E14" s="26"/>
      <c r="F14" s="26"/>
    </row>
    <row r="15" customFormat="false" ht="30" hidden="false" customHeight="true" outlineLevel="0" collapsed="false">
      <c r="A15" s="27" t="s">
        <v>192</v>
      </c>
      <c r="B15" s="28" t="s">
        <v>193</v>
      </c>
      <c r="C15" s="28"/>
      <c r="D15" s="28"/>
      <c r="E15" s="28"/>
      <c r="F15" s="28"/>
    </row>
    <row r="16" customFormat="false" ht="30" hidden="false" customHeight="true" outlineLevel="0" collapsed="false">
      <c r="A16" s="27" t="s">
        <v>194</v>
      </c>
      <c r="B16" s="28" t="s">
        <v>195</v>
      </c>
      <c r="C16" s="28"/>
      <c r="D16" s="28"/>
      <c r="E16" s="28"/>
      <c r="F16" s="28"/>
    </row>
    <row r="17" customFormat="false" ht="30" hidden="false" customHeight="true" outlineLevel="0" collapsed="false">
      <c r="A17" s="27" t="s">
        <v>196</v>
      </c>
      <c r="B17" s="28" t="s">
        <v>197</v>
      </c>
      <c r="C17" s="28"/>
      <c r="D17" s="28"/>
      <c r="E17" s="28"/>
      <c r="F17" s="28"/>
    </row>
    <row r="18" customFormat="false" ht="30" hidden="false" customHeight="true" outlineLevel="0" collapsed="false">
      <c r="A18" s="27" t="s">
        <v>198</v>
      </c>
      <c r="B18" s="28" t="s">
        <v>199</v>
      </c>
      <c r="C18" s="28"/>
      <c r="D18" s="28"/>
      <c r="E18" s="28"/>
      <c r="F18" s="28"/>
    </row>
    <row r="19" customFormat="false" ht="30" hidden="false" customHeight="true" outlineLevel="0" collapsed="false">
      <c r="A19" s="27" t="s">
        <v>200</v>
      </c>
      <c r="B19" s="28" t="s">
        <v>201</v>
      </c>
      <c r="C19" s="28"/>
      <c r="D19" s="28"/>
      <c r="E19" s="28"/>
      <c r="F19" s="28"/>
    </row>
    <row r="20" customFormat="false" ht="30" hidden="false" customHeight="true" outlineLevel="0" collapsed="false">
      <c r="A20" s="27" t="s">
        <v>202</v>
      </c>
      <c r="B20" s="28" t="s">
        <v>203</v>
      </c>
      <c r="C20" s="28"/>
      <c r="D20" s="28"/>
      <c r="E20" s="28"/>
      <c r="F20" s="28"/>
    </row>
  </sheetData>
  <mergeCells count="9">
    <mergeCell ref="A1:F1"/>
    <mergeCell ref="A2:F2"/>
    <mergeCell ref="A14:F14"/>
    <mergeCell ref="B15:F15"/>
    <mergeCell ref="B16:F16"/>
    <mergeCell ref="B17:F17"/>
    <mergeCell ref="B18:F18"/>
    <mergeCell ref="B19:F19"/>
    <mergeCell ref="B20:F20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6" min="6" style="0" width="12"/>
    <col collapsed="false" customWidth="true" hidden="false" outlineLevel="0" max="7" min="7" style="0" width="36"/>
  </cols>
  <sheetData>
    <row r="1" customFormat="false" ht="24" hidden="false" customHeight="true" outlineLevel="0" collapsed="false">
      <c r="A1" s="18" t="s">
        <v>204</v>
      </c>
      <c r="B1" s="18"/>
      <c r="C1" s="18"/>
      <c r="D1" s="18"/>
      <c r="E1" s="18"/>
      <c r="F1" s="18"/>
      <c r="G1" s="18"/>
    </row>
    <row r="2" customFormat="false" ht="31.5" hidden="false" customHeight="true" outlineLevel="0" collapsed="false">
      <c r="A2" s="29" t="s">
        <v>205</v>
      </c>
      <c r="B2" s="29"/>
      <c r="C2" s="29"/>
      <c r="D2" s="29"/>
      <c r="E2" s="29"/>
      <c r="F2" s="29"/>
      <c r="G2" s="29"/>
    </row>
    <row r="4" customFormat="false" ht="36" hidden="false" customHeight="true" outlineLevel="0" collapsed="false">
      <c r="A4" s="6" t="s">
        <v>19</v>
      </c>
      <c r="B4" s="6" t="s">
        <v>206</v>
      </c>
      <c r="C4" s="6" t="s">
        <v>207</v>
      </c>
      <c r="D4" s="6" t="s">
        <v>208</v>
      </c>
      <c r="E4" s="6" t="s">
        <v>209</v>
      </c>
      <c r="F4" s="6" t="s">
        <v>210</v>
      </c>
      <c r="G4" s="6" t="s">
        <v>211</v>
      </c>
    </row>
    <row r="5" customFormat="false" ht="31.5" hidden="false" customHeight="true" outlineLevel="0" collapsed="false">
      <c r="A5" s="30" t="s">
        <v>23</v>
      </c>
      <c r="B5" s="9" t="n">
        <v>2100</v>
      </c>
      <c r="C5" s="9" t="n">
        <v>1000</v>
      </c>
      <c r="D5" s="9" t="n">
        <v>400</v>
      </c>
      <c r="E5" s="31" t="n">
        <f aca="false">SUM(B5:D5)</f>
        <v>3500</v>
      </c>
      <c r="F5" s="10" t="n">
        <f aca="false">E5/10000</f>
        <v>0.35</v>
      </c>
      <c r="G5" s="32" t="s">
        <v>212</v>
      </c>
    </row>
    <row r="6" customFormat="false" ht="31.5" hidden="false" customHeight="true" outlineLevel="0" collapsed="false">
      <c r="A6" s="30" t="s">
        <v>213</v>
      </c>
      <c r="B6" s="9" t="n">
        <v>1200</v>
      </c>
      <c r="C6" s="9" t="n">
        <v>400</v>
      </c>
      <c r="D6" s="9" t="n">
        <v>200</v>
      </c>
      <c r="E6" s="31" t="n">
        <f aca="false">SUM(B6:D6)</f>
        <v>1800</v>
      </c>
      <c r="F6" s="10" t="n">
        <f aca="false">E6/10000</f>
        <v>0.18</v>
      </c>
      <c r="G6" s="32" t="s">
        <v>214</v>
      </c>
    </row>
    <row r="7" customFormat="false" ht="31.5" hidden="false" customHeight="true" outlineLevel="0" collapsed="false">
      <c r="A7" s="30" t="s">
        <v>215</v>
      </c>
      <c r="B7" s="9" t="n">
        <v>800</v>
      </c>
      <c r="C7" s="9" t="n">
        <v>1100</v>
      </c>
      <c r="D7" s="9" t="n">
        <v>300</v>
      </c>
      <c r="E7" s="31" t="n">
        <f aca="false">SUM(B7:D7)</f>
        <v>2200</v>
      </c>
      <c r="F7" s="10" t="n">
        <f aca="false">E7/10000</f>
        <v>0.22</v>
      </c>
      <c r="G7" s="32" t="s">
        <v>216</v>
      </c>
    </row>
    <row r="8" customFormat="false" ht="31.5" hidden="false" customHeight="true" outlineLevel="0" collapsed="false">
      <c r="A8" s="30" t="s">
        <v>29</v>
      </c>
      <c r="B8" s="9" t="n">
        <v>700</v>
      </c>
      <c r="C8" s="9" t="n">
        <v>500</v>
      </c>
      <c r="D8" s="9" t="n">
        <v>300</v>
      </c>
      <c r="E8" s="31" t="n">
        <f aca="false">SUM(B8:D8)</f>
        <v>1500</v>
      </c>
      <c r="F8" s="10" t="n">
        <f aca="false">E8/10000</f>
        <v>0.15</v>
      </c>
      <c r="G8" s="32" t="s">
        <v>217</v>
      </c>
    </row>
    <row r="9" customFormat="false" ht="31.5" hidden="false" customHeight="true" outlineLevel="0" collapsed="false">
      <c r="A9" s="30" t="s">
        <v>218</v>
      </c>
      <c r="B9" s="9" t="n">
        <v>200</v>
      </c>
      <c r="C9" s="9" t="n">
        <v>400</v>
      </c>
      <c r="D9" s="9" t="n">
        <v>400</v>
      </c>
      <c r="E9" s="31" t="n">
        <f aca="false">SUM(B9:D9)</f>
        <v>1000</v>
      </c>
      <c r="F9" s="10" t="n">
        <f aca="false">E9/10000</f>
        <v>0.1</v>
      </c>
      <c r="G9" s="32" t="s">
        <v>219</v>
      </c>
    </row>
    <row r="10" customFormat="false" ht="15" hidden="false" customHeight="false" outlineLevel="0" collapsed="false">
      <c r="A10" s="33" t="s">
        <v>220</v>
      </c>
      <c r="B10" s="34" t="n">
        <f aca="false">SUM(B5:B9)</f>
        <v>5000</v>
      </c>
      <c r="C10" s="34" t="n">
        <f aca="false">SUM(C5:C9)</f>
        <v>3400</v>
      </c>
      <c r="D10" s="34" t="n">
        <f aca="false">SUM(D5:D9)</f>
        <v>1600</v>
      </c>
      <c r="E10" s="34" t="n">
        <f aca="false">SUM(E5:E9)</f>
        <v>10000</v>
      </c>
      <c r="F10" s="35" t="n">
        <f aca="false">E10/10000</f>
        <v>1</v>
      </c>
      <c r="G10" s="33"/>
    </row>
    <row r="11" customFormat="false" ht="15" hidden="false" customHeight="false" outlineLevel="0" collapsed="false">
      <c r="A11" s="36" t="s">
        <v>21</v>
      </c>
      <c r="B11" s="37" t="n">
        <f aca="false">B10/E10</f>
        <v>0.5</v>
      </c>
      <c r="C11" s="37" t="n">
        <f aca="false">C10/E10</f>
        <v>0.34</v>
      </c>
      <c r="D11" s="37" t="n">
        <f aca="false">D10/E10</f>
        <v>0.16</v>
      </c>
      <c r="E11" s="11" t="s">
        <v>221</v>
      </c>
      <c r="F11" s="36"/>
      <c r="G11" s="36"/>
    </row>
    <row r="14" customFormat="false" ht="15" hidden="false" customHeight="false" outlineLevel="0" collapsed="false">
      <c r="A14" s="38" t="s">
        <v>222</v>
      </c>
    </row>
    <row r="15" customFormat="false" ht="15" hidden="false" customHeight="true" outlineLevel="0" collapsed="false">
      <c r="A15" s="39" t="s">
        <v>223</v>
      </c>
      <c r="B15" s="39" t="s">
        <v>224</v>
      </c>
      <c r="C15" s="39" t="s">
        <v>20</v>
      </c>
      <c r="D15" s="39" t="s">
        <v>211</v>
      </c>
      <c r="E15" s="39"/>
      <c r="F15" s="39"/>
      <c r="G15" s="39"/>
    </row>
    <row r="16" customFormat="false" ht="27.75" hidden="false" customHeight="true" outlineLevel="0" collapsed="false">
      <c r="A16" s="40" t="s">
        <v>225</v>
      </c>
      <c r="B16" s="8" t="s">
        <v>226</v>
      </c>
      <c r="C16" s="9" t="n">
        <v>6000</v>
      </c>
      <c r="D16" s="41" t="s">
        <v>227</v>
      </c>
      <c r="E16" s="41"/>
      <c r="F16" s="41"/>
      <c r="G16" s="41"/>
    </row>
    <row r="17" customFormat="false" ht="27.75" hidden="false" customHeight="true" outlineLevel="0" collapsed="false">
      <c r="A17" s="40" t="s">
        <v>228</v>
      </c>
      <c r="B17" s="8" t="s">
        <v>229</v>
      </c>
      <c r="C17" s="9" t="n">
        <v>4000</v>
      </c>
      <c r="D17" s="41" t="s">
        <v>230</v>
      </c>
      <c r="E17" s="41"/>
      <c r="F17" s="41"/>
      <c r="G17" s="41"/>
    </row>
  </sheetData>
  <mergeCells count="5">
    <mergeCell ref="A1:G1"/>
    <mergeCell ref="A2:G2"/>
    <mergeCell ref="D15:G15"/>
    <mergeCell ref="D16:G16"/>
    <mergeCell ref="D17:G17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24" hidden="false" customHeight="true" outlineLevel="0" collapsed="false">
      <c r="A1" s="42" t="s">
        <v>231</v>
      </c>
      <c r="B1" s="42"/>
      <c r="C1" s="42"/>
      <c r="D1" s="42"/>
      <c r="E1" s="42"/>
    </row>
    <row r="2" customFormat="false" ht="49.5" hidden="false" customHeight="true" outlineLevel="0" collapsed="false">
      <c r="A2" s="19" t="s">
        <v>232</v>
      </c>
      <c r="B2" s="19"/>
      <c r="C2" s="19"/>
      <c r="D2" s="19"/>
      <c r="E2" s="19"/>
    </row>
    <row r="4" customFormat="false" ht="15" hidden="false" customHeight="false" outlineLevel="0" collapsed="false">
      <c r="A4" s="43" t="s">
        <v>233</v>
      </c>
      <c r="B4" s="43"/>
      <c r="C4" s="43"/>
      <c r="D4" s="43"/>
      <c r="E4" s="43"/>
    </row>
    <row r="5" customFormat="false" ht="31.5" hidden="false" customHeight="true" outlineLevel="0" collapsed="false">
      <c r="A5" s="6" t="s">
        <v>234</v>
      </c>
      <c r="B5" s="6" t="s">
        <v>235</v>
      </c>
      <c r="C5" s="6" t="s">
        <v>236</v>
      </c>
      <c r="D5" s="6" t="s">
        <v>237</v>
      </c>
      <c r="E5" s="6" t="s">
        <v>238</v>
      </c>
    </row>
    <row r="6" customFormat="false" ht="28.35" hidden="false" customHeight="false" outlineLevel="0" collapsed="false">
      <c r="A6" s="30" t="s">
        <v>239</v>
      </c>
      <c r="B6" s="8" t="s">
        <v>240</v>
      </c>
      <c r="C6" s="21" t="s">
        <v>241</v>
      </c>
      <c r="D6" s="7" t="n">
        <v>320</v>
      </c>
      <c r="E6" s="9" t="n">
        <f aca="false">D6*25</f>
        <v>8000</v>
      </c>
    </row>
    <row r="7" customFormat="false" ht="28.35" hidden="false" customHeight="false" outlineLevel="0" collapsed="false">
      <c r="A7" s="30" t="s">
        <v>242</v>
      </c>
      <c r="B7" s="8" t="s">
        <v>243</v>
      </c>
      <c r="C7" s="21" t="s">
        <v>244</v>
      </c>
      <c r="D7" s="7" t="n">
        <v>80</v>
      </c>
      <c r="E7" s="9" t="n">
        <f aca="false">D7*25</f>
        <v>2000</v>
      </c>
    </row>
    <row r="8" customFormat="false" ht="28.35" hidden="false" customHeight="false" outlineLevel="0" collapsed="false">
      <c r="A8" s="30" t="s">
        <v>245</v>
      </c>
      <c r="B8" s="8" t="s">
        <v>246</v>
      </c>
      <c r="C8" s="21" t="s">
        <v>247</v>
      </c>
      <c r="D8" s="8" t="s">
        <v>248</v>
      </c>
      <c r="E8" s="9" t="n">
        <v>1500</v>
      </c>
    </row>
    <row r="9" customFormat="false" ht="28.35" hidden="false" customHeight="false" outlineLevel="0" collapsed="false">
      <c r="A9" s="30" t="s">
        <v>249</v>
      </c>
      <c r="B9" s="8" t="s">
        <v>250</v>
      </c>
      <c r="C9" s="21" t="s">
        <v>251</v>
      </c>
      <c r="D9" s="7" t="n">
        <v>20</v>
      </c>
      <c r="E9" s="9" t="n">
        <f aca="false">D9*80</f>
        <v>1600</v>
      </c>
    </row>
    <row r="10" customFormat="false" ht="41.75" hidden="false" customHeight="false" outlineLevel="0" collapsed="false">
      <c r="A10" s="30" t="s">
        <v>252</v>
      </c>
      <c r="B10" s="8" t="s">
        <v>253</v>
      </c>
      <c r="C10" s="21" t="s">
        <v>254</v>
      </c>
      <c r="D10" s="8" t="s">
        <v>248</v>
      </c>
      <c r="E10" s="9" t="n">
        <v>1000</v>
      </c>
    </row>
    <row r="11" customFormat="false" ht="28.35" hidden="false" customHeight="false" outlineLevel="0" collapsed="false">
      <c r="A11" s="30" t="s">
        <v>255</v>
      </c>
      <c r="B11" s="8" t="s">
        <v>256</v>
      </c>
      <c r="C11" s="21" t="s">
        <v>257</v>
      </c>
      <c r="D11" s="7" t="n">
        <v>200</v>
      </c>
      <c r="E11" s="9" t="n">
        <f aca="false">D11*20</f>
        <v>4000</v>
      </c>
    </row>
    <row r="12" customFormat="false" ht="15" hidden="false" customHeight="false" outlineLevel="0" collapsed="false">
      <c r="A12" s="33" t="s">
        <v>258</v>
      </c>
      <c r="B12" s="33"/>
      <c r="C12" s="33"/>
      <c r="D12" s="33"/>
      <c r="E12" s="34" t="n">
        <f aca="false">SUM(E6:E11)</f>
        <v>18100</v>
      </c>
    </row>
    <row r="15" customFormat="false" ht="15" hidden="false" customHeight="false" outlineLevel="0" collapsed="false">
      <c r="A15" s="43" t="s">
        <v>259</v>
      </c>
      <c r="B15" s="43"/>
      <c r="C15" s="43"/>
      <c r="D15" s="43"/>
      <c r="E15" s="43"/>
    </row>
    <row r="16" customFormat="false" ht="15" hidden="false" customHeight="false" outlineLevel="0" collapsed="false">
      <c r="A16" s="8" t="s">
        <v>260</v>
      </c>
      <c r="B16" s="9" t="n">
        <v>10000</v>
      </c>
    </row>
    <row r="17" customFormat="false" ht="15" hidden="false" customHeight="false" outlineLevel="0" collapsed="false">
      <c r="A17" s="8" t="s">
        <v>261</v>
      </c>
      <c r="B17" s="9" t="n">
        <f aca="false">E12</f>
        <v>18100</v>
      </c>
    </row>
    <row r="18" customFormat="false" ht="15" hidden="false" customHeight="false" outlineLevel="0" collapsed="false">
      <c r="A18" s="44" t="s">
        <v>262</v>
      </c>
      <c r="B18" s="45" t="n">
        <f aca="false">10000+E12</f>
        <v>28100</v>
      </c>
    </row>
    <row r="21" customFormat="false" ht="15" hidden="false" customHeight="false" outlineLevel="0" collapsed="false">
      <c r="A21" s="43" t="s">
        <v>263</v>
      </c>
      <c r="B21" s="43"/>
      <c r="C21" s="43"/>
      <c r="D21" s="43"/>
      <c r="E21" s="43"/>
    </row>
    <row r="22" customFormat="false" ht="31.5" hidden="false" customHeight="true" outlineLevel="0" collapsed="false">
      <c r="A22" s="6" t="s">
        <v>264</v>
      </c>
      <c r="B22" s="6" t="s">
        <v>42</v>
      </c>
      <c r="C22" s="6"/>
      <c r="D22" s="6"/>
    </row>
    <row r="23" customFormat="false" ht="31.5" hidden="false" customHeight="true" outlineLevel="0" collapsed="false">
      <c r="A23" s="30" t="s">
        <v>265</v>
      </c>
      <c r="B23" s="21" t="s">
        <v>266</v>
      </c>
      <c r="C23" s="21"/>
      <c r="D23" s="21"/>
      <c r="E23" s="9" t="n">
        <v>8000</v>
      </c>
    </row>
    <row r="24" customFormat="false" ht="31.5" hidden="false" customHeight="true" outlineLevel="0" collapsed="false">
      <c r="A24" s="30" t="s">
        <v>267</v>
      </c>
      <c r="B24" s="21" t="s">
        <v>268</v>
      </c>
      <c r="C24" s="21"/>
      <c r="D24" s="21"/>
      <c r="E24" s="9" t="n">
        <v>12000</v>
      </c>
    </row>
    <row r="25" customFormat="false" ht="31.5" hidden="false" customHeight="true" outlineLevel="0" collapsed="false">
      <c r="A25" s="30" t="s">
        <v>269</v>
      </c>
      <c r="B25" s="21" t="s">
        <v>270</v>
      </c>
      <c r="C25" s="21"/>
      <c r="D25" s="21"/>
      <c r="E25" s="9" t="n">
        <v>25000</v>
      </c>
    </row>
    <row r="26" customFormat="false" ht="31.5" hidden="false" customHeight="true" outlineLevel="0" collapsed="false">
      <c r="A26" s="30" t="s">
        <v>271</v>
      </c>
      <c r="B26" s="21" t="s">
        <v>272</v>
      </c>
      <c r="C26" s="21"/>
      <c r="D26" s="21"/>
      <c r="E26" s="9" t="n">
        <v>15000</v>
      </c>
    </row>
    <row r="27" customFormat="false" ht="31.5" hidden="false" customHeight="true" outlineLevel="0" collapsed="false">
      <c r="A27" s="30" t="s">
        <v>273</v>
      </c>
      <c r="B27" s="21" t="s">
        <v>274</v>
      </c>
      <c r="C27" s="21"/>
      <c r="D27" s="21"/>
      <c r="E27" s="9" t="n">
        <v>10000</v>
      </c>
    </row>
  </sheetData>
  <mergeCells count="12">
    <mergeCell ref="A1:E1"/>
    <mergeCell ref="A2:E2"/>
    <mergeCell ref="A4:E4"/>
    <mergeCell ref="A12:D12"/>
    <mergeCell ref="A15:E15"/>
    <mergeCell ref="A21:E21"/>
    <mergeCell ref="B22:D22"/>
    <mergeCell ref="B23:D23"/>
    <mergeCell ref="B24:D24"/>
    <mergeCell ref="B25:D25"/>
    <mergeCell ref="B26:D26"/>
    <mergeCell ref="B27:D27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2026-06-28T13:55:48Z</dcterms:created>
  <dc:creator>openpyxl</dc:creator>
  <dc:description/>
  <dc:language>en-US</dc:language>
  <cp:lastModifiedBy/>
  <dcterms:modified xsi:type="dcterms:W3CDTF">2026-06-28T13:55:48Z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